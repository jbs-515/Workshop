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aviach-my.sharepoint.com/personal/jorge_benito_anavia_eu/Documents/Desktop/mis cosas/"/>
    </mc:Choice>
  </mc:AlternateContent>
  <xr:revisionPtr revIDLastSave="751" documentId="13_ncr:1_{AE475E26-2223-45FA-BA00-0F98C7BED048}" xr6:coauthVersionLast="47" xr6:coauthVersionMax="47" xr10:uidLastSave="{91FACD4E-016E-4129-B357-98454839F52F}"/>
  <bookViews>
    <workbookView minimized="1" xWindow="1950" yWindow="1950" windowWidth="21600" windowHeight="11295" tabRatio="720" activeTab="5" xr2:uid="{00000000-000D-0000-FFFF-FFFF00000000}"/>
  </bookViews>
  <sheets>
    <sheet name="Work Report Consultant" sheetId="1" r:id="rId1"/>
    <sheet name="Print January Summary" sheetId="2" r:id="rId2"/>
    <sheet name="Print February Summary " sheetId="3" r:id="rId3"/>
    <sheet name="Print March Summary" sheetId="5" r:id="rId4"/>
    <sheet name="Print April Summary" sheetId="6" r:id="rId5"/>
    <sheet name="Print May Summary" sheetId="7" r:id="rId6"/>
    <sheet name="Print June Summary" sheetId="8" r:id="rId7"/>
    <sheet name="Print July Summary" sheetId="9" r:id="rId8"/>
    <sheet name="Print Aug Summary" sheetId="10" r:id="rId9"/>
    <sheet name="Print Sept Summary" sheetId="11" r:id="rId10"/>
    <sheet name="Print Oct Summary" sheetId="12" r:id="rId11"/>
    <sheet name="Print Nov Summary " sheetId="13" r:id="rId12"/>
    <sheet name="Print Dec Summary" sheetId="14" r:id="rId13"/>
  </sheets>
  <definedNames>
    <definedName name="\c" localSheetId="4">'Work Report Consultant'!#REF!</definedName>
    <definedName name="\c" localSheetId="8">'Work Report Consultant'!#REF!</definedName>
    <definedName name="\c" localSheetId="12">'Work Report Consultant'!#REF!</definedName>
    <definedName name="\c" localSheetId="2">'Work Report Consultant'!#REF!</definedName>
    <definedName name="\c" localSheetId="7">'Work Report Consultant'!#REF!</definedName>
    <definedName name="\c" localSheetId="6">'Work Report Consultant'!#REF!</definedName>
    <definedName name="\c" localSheetId="3">'Work Report Consultant'!#REF!</definedName>
    <definedName name="\c" localSheetId="5">'Work Report Consultant'!#REF!</definedName>
    <definedName name="\c" localSheetId="11">'Work Report Consultant'!#REF!</definedName>
    <definedName name="\c" localSheetId="10">'Work Report Consultant'!#REF!</definedName>
    <definedName name="\c" localSheetId="9">'Work Report Consultant'!#REF!</definedName>
    <definedName name="\c">'Work Report Consultant'!#REF!</definedName>
    <definedName name="\d" localSheetId="4">'Work Report Consultant'!#REF!</definedName>
    <definedName name="\d" localSheetId="8">'Work Report Consultant'!#REF!</definedName>
    <definedName name="\d" localSheetId="12">'Work Report Consultant'!#REF!</definedName>
    <definedName name="\d" localSheetId="2">'Work Report Consultant'!#REF!</definedName>
    <definedName name="\d" localSheetId="7">'Work Report Consultant'!#REF!</definedName>
    <definedName name="\d" localSheetId="6">'Work Report Consultant'!#REF!</definedName>
    <definedName name="\d" localSheetId="3">'Work Report Consultant'!#REF!</definedName>
    <definedName name="\d" localSheetId="5">'Work Report Consultant'!#REF!</definedName>
    <definedName name="\d" localSheetId="11">'Work Report Consultant'!#REF!</definedName>
    <definedName name="\d" localSheetId="10">'Work Report Consultant'!#REF!</definedName>
    <definedName name="\d" localSheetId="9">'Work Report Consultant'!#REF!</definedName>
    <definedName name="\d">'Work Report Consultant'!#REF!</definedName>
    <definedName name="\s">'Work Report Consultant'!$BR$7</definedName>
    <definedName name="\t">'Work Report Consultant'!$BR$10</definedName>
    <definedName name="\y" localSheetId="4">'Work Report Consultant'!#REF!</definedName>
    <definedName name="\y" localSheetId="8">'Work Report Consultant'!#REF!</definedName>
    <definedName name="\y" localSheetId="12">'Work Report Consultant'!#REF!</definedName>
    <definedName name="\y" localSheetId="2">'Work Report Consultant'!#REF!</definedName>
    <definedName name="\y" localSheetId="7">'Work Report Consultant'!#REF!</definedName>
    <definedName name="\y" localSheetId="6">'Work Report Consultant'!#REF!</definedName>
    <definedName name="\y" localSheetId="3">'Work Report Consultant'!#REF!</definedName>
    <definedName name="\y" localSheetId="5">'Work Report Consultant'!#REF!</definedName>
    <definedName name="\y" localSheetId="11">'Work Report Consultant'!#REF!</definedName>
    <definedName name="\y" localSheetId="10">'Work Report Consultant'!#REF!</definedName>
    <definedName name="\y" localSheetId="9">'Work Report Consultant'!#REF!</definedName>
    <definedName name="\y">'Work Report Consultant'!#REF!</definedName>
    <definedName name="_Fill" hidden="1">'Work Report Consultant'!$Y$41:$Y$71</definedName>
    <definedName name="_Regression_Int" localSheetId="0" hidden="1">1</definedName>
    <definedName name="Druckbereich_MI" localSheetId="0">'Work Report Consultant'!$B$2:$Y$75</definedName>
    <definedName name="DRUCKBEREICH_MI">'Work Report Consultant'!$B$2:$Y$75</definedName>
    <definedName name="MAKRO">'Work Report Consultant'!$BQ$4</definedName>
    <definedName name="_xlnm.Print_Area" localSheetId="4">'Print April Summary'!$B$1:$G$60</definedName>
    <definedName name="_xlnm.Print_Area" localSheetId="8">'Print Aug Summary'!$B$1:$G$60</definedName>
    <definedName name="_xlnm.Print_Area" localSheetId="12">'Print Dec Summary'!$B$1:$G$60</definedName>
    <definedName name="_xlnm.Print_Area" localSheetId="2">'Print February Summary '!$B$1:$G$60</definedName>
    <definedName name="_xlnm.Print_Area" localSheetId="1">'Print January Summary'!$B$1:$G$60</definedName>
    <definedName name="_xlnm.Print_Area" localSheetId="7">'Print July Summary'!$B$1:$G$60</definedName>
    <definedName name="_xlnm.Print_Area" localSheetId="6">'Print June Summary'!$B$1:$G$60</definedName>
    <definedName name="_xlnm.Print_Area" localSheetId="3">'Print March Summary'!$B$1:$G$60</definedName>
    <definedName name="_xlnm.Print_Area" localSheetId="5">'Print May Summary'!$B$1:$G$60</definedName>
    <definedName name="_xlnm.Print_Area" localSheetId="11">'Print Nov Summary '!$B$1:$G$60</definedName>
    <definedName name="_xlnm.Print_Area" localSheetId="10">'Print Oct Summary'!$B$1:$G$60</definedName>
    <definedName name="_xlnm.Print_Area" localSheetId="9">'Print Sept Summary'!$B$1:$G$60</definedName>
    <definedName name="_xlnm.Print_Area" localSheetId="0">'Work Report Consultant'!$B$2:$AG$76</definedName>
    <definedName name="_xlnm.Print_Area">'Work Report Consultant'!$B$2:$Y$75</definedName>
    <definedName name="_xlnm.Print_Titles" localSheetId="0">'Work Report Consultant'!$B:$P,'Work Report Consultant'!$3:$3</definedName>
    <definedName name="SASO">'Work Report Consultant'!$BT$7:$BV$8</definedName>
    <definedName name="TEMP">'Work Report Consultant'!$D$10</definedName>
    <definedName name="WOCHE">'Work Report Consultant'!$B$8:$B$14</definedName>
    <definedName name="Z_102BA92E_9A91_4D7B_992E_89D43750ABA8_.wvu.PrintArea" localSheetId="0" hidden="1">'Work Report Consultant'!$B$2:$Y$75</definedName>
    <definedName name="Z_7C0AF397_1D48_4F9D_8A6A_6B46FA875E72_.wvu.PrintArea" localSheetId="0" hidden="1">'Work Report Consultant'!$B$2:$Y$75</definedName>
    <definedName name="Z_A4D5E2DE_E266_4BC5_B83E_E8E0AA8D0D0A_.wvu.PrintArea" localSheetId="0" hidden="1">'Work Report Consultant'!$B$2:$Y$75</definedName>
    <definedName name="Z_CF1B3FC0_A1CB_4F05_BC79_ECDE3015C0E1_.wvu.PrintArea" localSheetId="0" hidden="1">'Work Report Consultant'!$B$2:$Y$75</definedName>
    <definedName name="Z_FFFFB977_9E74_4C9C_ABC0_D630FEFCE8F8_.wvu.PrintArea" localSheetId="0" hidden="1">'Work Report Consultant'!$B$2:$Y$75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5" l="1"/>
  <c r="B5" i="1"/>
  <c r="AB21" i="1"/>
  <c r="AA5" i="1"/>
  <c r="V38" i="1"/>
  <c r="C6" i="2"/>
  <c r="AB33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6" i="1"/>
  <c r="AC7" i="1"/>
  <c r="AC8" i="1"/>
  <c r="B7" i="2" l="1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C30" i="5"/>
  <c r="D30" i="5"/>
  <c r="C31" i="5"/>
  <c r="D31" i="5"/>
  <c r="C32" i="5"/>
  <c r="D32" i="5"/>
  <c r="C33" i="5"/>
  <c r="D33" i="5"/>
  <c r="C34" i="5"/>
  <c r="D34" i="5"/>
  <c r="C35" i="5"/>
  <c r="D35" i="5"/>
  <c r="C36" i="5"/>
  <c r="D36" i="5"/>
  <c r="C37" i="5"/>
  <c r="D37" i="5"/>
  <c r="D7" i="5"/>
  <c r="C7" i="5"/>
  <c r="C6" i="5"/>
  <c r="C35" i="3"/>
  <c r="D35" i="3"/>
  <c r="E35" i="3"/>
  <c r="AC5" i="1"/>
  <c r="W42" i="1"/>
  <c r="W43" i="1" s="1"/>
  <c r="W44" i="1" s="1"/>
  <c r="W45" i="1" s="1"/>
  <c r="W46" i="1" s="1"/>
  <c r="W47" i="1" s="1"/>
  <c r="W48" i="1" s="1"/>
  <c r="S42" i="1"/>
  <c r="O42" i="1"/>
  <c r="O43" i="1" s="1"/>
  <c r="O44" i="1" s="1"/>
  <c r="O45" i="1" s="1"/>
  <c r="O46" i="1" s="1"/>
  <c r="K41" i="1"/>
  <c r="K42" i="1" s="1"/>
  <c r="K43" i="1" s="1"/>
  <c r="K44" i="1" s="1"/>
  <c r="K45" i="1" s="1"/>
  <c r="K46" i="1" s="1"/>
  <c r="K47" i="1" s="1"/>
  <c r="K48" i="1" s="1"/>
  <c r="G42" i="1"/>
  <c r="G43" i="1" s="1"/>
  <c r="G44" i="1" s="1"/>
  <c r="G45" i="1" s="1"/>
  <c r="G46" i="1" s="1"/>
  <c r="G47" i="1" s="1"/>
  <c r="G48" i="1" s="1"/>
  <c r="G49" i="1" s="1"/>
  <c r="G50" i="1" s="1"/>
  <c r="G51" i="1" s="1"/>
  <c r="C42" i="1"/>
  <c r="C43" i="1" s="1"/>
  <c r="C44" i="1" s="1"/>
  <c r="C45" i="1" s="1"/>
  <c r="C46" i="1" s="1"/>
  <c r="C47" i="1" s="1"/>
  <c r="W6" i="1"/>
  <c r="W7" i="1" s="1"/>
  <c r="W8" i="1" s="1"/>
  <c r="W9" i="1" s="1"/>
  <c r="W10" i="1" s="1"/>
  <c r="W11" i="1" s="1"/>
  <c r="W12" i="1" s="1"/>
  <c r="W13" i="1" s="1"/>
  <c r="W14" i="1" s="1"/>
  <c r="S6" i="1"/>
  <c r="S7" i="1" s="1"/>
  <c r="S8" i="1" s="1"/>
  <c r="S9" i="1" s="1"/>
  <c r="O6" i="1"/>
  <c r="O7" i="1" s="1"/>
  <c r="O8" i="1" s="1"/>
  <c r="O9" i="1" s="1"/>
  <c r="S43" i="1" l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K49" i="1"/>
  <c r="K50" i="1" s="1"/>
  <c r="K51" i="1" s="1"/>
  <c r="K52" i="1" s="1"/>
  <c r="K53" i="1" s="1"/>
  <c r="K54" i="1" s="1"/>
  <c r="K55" i="1" s="1"/>
  <c r="K56" i="1" s="1"/>
  <c r="K57" i="1" s="1"/>
  <c r="K58" i="1" s="1"/>
  <c r="O10" i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W49" i="1"/>
  <c r="W50" i="1" s="1"/>
  <c r="W51" i="1" s="1"/>
  <c r="O47" i="1"/>
  <c r="O48" i="1" s="1"/>
  <c r="O49" i="1" s="1"/>
  <c r="O50" i="1" s="1"/>
  <c r="O51" i="1" s="1"/>
  <c r="G52" i="1"/>
  <c r="G53" i="1" s="1"/>
  <c r="G54" i="1" s="1"/>
  <c r="C48" i="1"/>
  <c r="C49" i="1" s="1"/>
  <c r="C50" i="1" s="1"/>
  <c r="W15" i="1"/>
  <c r="W16" i="1" s="1"/>
  <c r="W17" i="1" s="1"/>
  <c r="W18" i="1" s="1"/>
  <c r="W19" i="1" s="1"/>
  <c r="W20" i="1" s="1"/>
  <c r="W21" i="1" s="1"/>
  <c r="W22" i="1" s="1"/>
  <c r="W23" i="1" s="1"/>
  <c r="S10" i="1"/>
  <c r="S11" i="1" s="1"/>
  <c r="S12" i="1" s="1"/>
  <c r="O52" i="1" l="1"/>
  <c r="O53" i="1" s="1"/>
  <c r="O54" i="1" s="1"/>
  <c r="O55" i="1" s="1"/>
  <c r="O56" i="1" s="1"/>
  <c r="O57" i="1" s="1"/>
  <c r="O58" i="1" s="1"/>
  <c r="O22" i="1"/>
  <c r="O23" i="1" s="1"/>
  <c r="O24" i="1" s="1"/>
  <c r="O25" i="1" s="1"/>
  <c r="O26" i="1" s="1"/>
  <c r="O27" i="1" s="1"/>
  <c r="O28" i="1" s="1"/>
  <c r="W52" i="1"/>
  <c r="W53" i="1" s="1"/>
  <c r="S54" i="1"/>
  <c r="S55" i="1" s="1"/>
  <c r="K59" i="1"/>
  <c r="K60" i="1" s="1"/>
  <c r="G55" i="1"/>
  <c r="G56" i="1" s="1"/>
  <c r="C51" i="1"/>
  <c r="C52" i="1" s="1"/>
  <c r="W24" i="1"/>
  <c r="W25" i="1" s="1"/>
  <c r="S13" i="1"/>
  <c r="S14" i="1" s="1"/>
  <c r="W54" i="1" l="1"/>
  <c r="W55" i="1" s="1"/>
  <c r="W56" i="1" s="1"/>
  <c r="W57" i="1" s="1"/>
  <c r="W58" i="1" s="1"/>
  <c r="W59" i="1" s="1"/>
  <c r="W60" i="1" s="1"/>
  <c r="S56" i="1"/>
  <c r="S57" i="1" s="1"/>
  <c r="S58" i="1" s="1"/>
  <c r="S59" i="1" s="1"/>
  <c r="S60" i="1" s="1"/>
  <c r="S61" i="1" s="1"/>
  <c r="S62" i="1" s="1"/>
  <c r="O59" i="1"/>
  <c r="O60" i="1" s="1"/>
  <c r="O61" i="1" s="1"/>
  <c r="O62" i="1" s="1"/>
  <c r="O63" i="1" s="1"/>
  <c r="O64" i="1" s="1"/>
  <c r="O65" i="1" s="1"/>
  <c r="K61" i="1"/>
  <c r="K62" i="1" s="1"/>
  <c r="K63" i="1" s="1"/>
  <c r="K64" i="1" s="1"/>
  <c r="K65" i="1" s="1"/>
  <c r="K66" i="1" s="1"/>
  <c r="K67" i="1" s="1"/>
  <c r="G57" i="1"/>
  <c r="G58" i="1" s="1"/>
  <c r="G59" i="1" s="1"/>
  <c r="G60" i="1" s="1"/>
  <c r="G61" i="1" s="1"/>
  <c r="G62" i="1" s="1"/>
  <c r="G63" i="1" s="1"/>
  <c r="C53" i="1"/>
  <c r="C54" i="1" s="1"/>
  <c r="C55" i="1" s="1"/>
  <c r="C56" i="1" s="1"/>
  <c r="C57" i="1" s="1"/>
  <c r="C58" i="1" s="1"/>
  <c r="C59" i="1" s="1"/>
  <c r="W26" i="1"/>
  <c r="W27" i="1" s="1"/>
  <c r="W28" i="1" s="1"/>
  <c r="W29" i="1" s="1"/>
  <c r="W30" i="1" s="1"/>
  <c r="W31" i="1" s="1"/>
  <c r="W32" i="1" s="1"/>
  <c r="W33" i="1" s="1"/>
  <c r="W34" i="1" s="1"/>
  <c r="S15" i="1"/>
  <c r="S16" i="1" s="1"/>
  <c r="S17" i="1" s="1"/>
  <c r="S18" i="1" s="1"/>
  <c r="S19" i="1" s="1"/>
  <c r="S20" i="1" s="1"/>
  <c r="S21" i="1" s="1"/>
  <c r="O29" i="1"/>
  <c r="O30" i="1" s="1"/>
  <c r="O31" i="1" s="1"/>
  <c r="O32" i="1" s="1"/>
  <c r="O33" i="1" s="1"/>
  <c r="O34" i="1" s="1"/>
  <c r="B6" i="1"/>
  <c r="B7" i="1" s="1"/>
  <c r="B8" i="1" s="1"/>
  <c r="B9" i="1" s="1"/>
  <c r="B10" i="1" s="1"/>
  <c r="B11" i="1" s="1"/>
  <c r="B12" i="1" s="1"/>
  <c r="B13" i="1" s="1"/>
  <c r="B14" i="1" s="1"/>
  <c r="W61" i="1" l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S63" i="1"/>
  <c r="S64" i="1" s="1"/>
  <c r="S65" i="1" s="1"/>
  <c r="S66" i="1" s="1"/>
  <c r="S67" i="1" s="1"/>
  <c r="S68" i="1" s="1"/>
  <c r="S69" i="1" s="1"/>
  <c r="S70" i="1" s="1"/>
  <c r="O66" i="1"/>
  <c r="O67" i="1" s="1"/>
  <c r="O68" i="1" s="1"/>
  <c r="O69" i="1" s="1"/>
  <c r="O70" i="1" s="1"/>
  <c r="O71" i="1" s="1"/>
  <c r="K68" i="1"/>
  <c r="K69" i="1" s="1"/>
  <c r="K70" i="1" s="1"/>
  <c r="G64" i="1"/>
  <c r="G65" i="1" s="1"/>
  <c r="G66" i="1" s="1"/>
  <c r="G67" i="1" s="1"/>
  <c r="G68" i="1" s="1"/>
  <c r="G69" i="1" s="1"/>
  <c r="G70" i="1" s="1"/>
  <c r="G71" i="1" s="1"/>
  <c r="C60" i="1"/>
  <c r="C61" i="1" s="1"/>
  <c r="C62" i="1" s="1"/>
  <c r="C63" i="1" s="1"/>
  <c r="C64" i="1" s="1"/>
  <c r="C65" i="1" s="1"/>
  <c r="C66" i="1" s="1"/>
  <c r="S22" i="1"/>
  <c r="S23" i="1" s="1"/>
  <c r="S24" i="1" s="1"/>
  <c r="S25" i="1" s="1"/>
  <c r="S26" i="1" s="1"/>
  <c r="S27" i="1" s="1"/>
  <c r="S28" i="1" s="1"/>
  <c r="B15" i="1"/>
  <c r="B16" i="1" s="1"/>
  <c r="AF7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41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5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41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2" i="1"/>
  <c r="AB23" i="1"/>
  <c r="AB24" i="1"/>
  <c r="AB25" i="1"/>
  <c r="AB26" i="1"/>
  <c r="AB27" i="1"/>
  <c r="AB28" i="1"/>
  <c r="AB29" i="1"/>
  <c r="AB30" i="1"/>
  <c r="AB31" i="1"/>
  <c r="AB32" i="1"/>
  <c r="AB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C67" i="1" l="1"/>
  <c r="C68" i="1" s="1"/>
  <c r="C69" i="1" s="1"/>
  <c r="C70" i="1" s="1"/>
  <c r="C71" i="1" s="1"/>
  <c r="S29" i="1"/>
  <c r="S30" i="1" s="1"/>
  <c r="S31" i="1" s="1"/>
  <c r="S32" i="1" s="1"/>
  <c r="S33" i="1" s="1"/>
  <c r="S34" i="1" s="1"/>
  <c r="S35" i="1" s="1"/>
  <c r="B17" i="1"/>
  <c r="B18" i="1" l="1"/>
  <c r="B19" i="1" s="1"/>
  <c r="B20" i="1" s="1"/>
  <c r="B21" i="1" s="1"/>
  <c r="B22" i="1" s="1"/>
  <c r="B23" i="1" s="1"/>
  <c r="E37" i="14"/>
  <c r="D37" i="14"/>
  <c r="C37" i="14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24" i="1" l="1"/>
  <c r="B25" i="1" s="1"/>
  <c r="B26" i="1" s="1"/>
  <c r="B27" i="1" s="1"/>
  <c r="B28" i="1" s="1"/>
  <c r="B29" i="1" s="1"/>
  <c r="B30" i="1" s="1"/>
  <c r="B35" i="3"/>
  <c r="C8" i="14"/>
  <c r="D8" i="14"/>
  <c r="C9" i="14"/>
  <c r="D9" i="14"/>
  <c r="C10" i="14"/>
  <c r="D10" i="14"/>
  <c r="C11" i="14"/>
  <c r="D11" i="14"/>
  <c r="C12" i="14"/>
  <c r="D12" i="14"/>
  <c r="C13" i="14"/>
  <c r="D13" i="14"/>
  <c r="C14" i="14"/>
  <c r="D14" i="14"/>
  <c r="C15" i="14"/>
  <c r="D15" i="14"/>
  <c r="C16" i="14"/>
  <c r="D16" i="14"/>
  <c r="C17" i="14"/>
  <c r="D17" i="14"/>
  <c r="C18" i="14"/>
  <c r="D18" i="14"/>
  <c r="C19" i="14"/>
  <c r="D19" i="14"/>
  <c r="C20" i="14"/>
  <c r="D20" i="14"/>
  <c r="C21" i="14"/>
  <c r="D21" i="14"/>
  <c r="C22" i="14"/>
  <c r="D22" i="14"/>
  <c r="C23" i="14"/>
  <c r="D23" i="14"/>
  <c r="C24" i="14"/>
  <c r="D24" i="14"/>
  <c r="C25" i="14"/>
  <c r="D25" i="14"/>
  <c r="C26" i="14"/>
  <c r="D26" i="14"/>
  <c r="C27" i="14"/>
  <c r="D27" i="14"/>
  <c r="C28" i="14"/>
  <c r="D28" i="14"/>
  <c r="C29" i="14"/>
  <c r="D29" i="14"/>
  <c r="C30" i="14"/>
  <c r="D30" i="14"/>
  <c r="C31" i="14"/>
  <c r="D31" i="14"/>
  <c r="E31" i="14"/>
  <c r="C32" i="14"/>
  <c r="D32" i="14"/>
  <c r="C33" i="14"/>
  <c r="D33" i="14"/>
  <c r="C34" i="14"/>
  <c r="D34" i="14"/>
  <c r="C35" i="14"/>
  <c r="D35" i="14"/>
  <c r="C36" i="14"/>
  <c r="D36" i="14"/>
  <c r="D7" i="14"/>
  <c r="C7" i="14"/>
  <c r="B6" i="14"/>
  <c r="C6" i="14"/>
  <c r="C4" i="14"/>
  <c r="B4" i="14"/>
  <c r="C3" i="14"/>
  <c r="B3" i="14"/>
  <c r="B2" i="14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5" i="13"/>
  <c r="D25" i="13"/>
  <c r="C26" i="13"/>
  <c r="D26" i="13"/>
  <c r="C27" i="13"/>
  <c r="D27" i="13"/>
  <c r="C28" i="13"/>
  <c r="D28" i="13"/>
  <c r="C29" i="13"/>
  <c r="D29" i="13"/>
  <c r="C30" i="13"/>
  <c r="D30" i="13"/>
  <c r="C31" i="13"/>
  <c r="D31" i="13"/>
  <c r="C32" i="13"/>
  <c r="D32" i="13"/>
  <c r="C33" i="13"/>
  <c r="D33" i="13"/>
  <c r="C34" i="13"/>
  <c r="D34" i="13"/>
  <c r="C35" i="13"/>
  <c r="D35" i="13"/>
  <c r="C36" i="13"/>
  <c r="D36" i="13"/>
  <c r="E7" i="13"/>
  <c r="D7" i="13"/>
  <c r="C7" i="13"/>
  <c r="B6" i="13"/>
  <c r="C6" i="13"/>
  <c r="C4" i="13"/>
  <c r="B4" i="13"/>
  <c r="C3" i="13"/>
  <c r="B3" i="13"/>
  <c r="B2" i="13"/>
  <c r="C37" i="12"/>
  <c r="D37" i="12"/>
  <c r="C8" i="12"/>
  <c r="D8" i="12"/>
  <c r="C9" i="12"/>
  <c r="D9" i="12"/>
  <c r="C10" i="12"/>
  <c r="D10" i="12"/>
  <c r="C11" i="12"/>
  <c r="D11" i="12"/>
  <c r="C12" i="12"/>
  <c r="D12" i="12"/>
  <c r="C13" i="12"/>
  <c r="D13" i="12"/>
  <c r="C14" i="12"/>
  <c r="D14" i="12"/>
  <c r="C15" i="12"/>
  <c r="D15" i="12"/>
  <c r="C16" i="12"/>
  <c r="D16" i="12"/>
  <c r="C17" i="12"/>
  <c r="D17" i="12"/>
  <c r="C18" i="12"/>
  <c r="D18" i="12"/>
  <c r="C19" i="12"/>
  <c r="D19" i="12"/>
  <c r="C20" i="12"/>
  <c r="D20" i="12"/>
  <c r="C21" i="12"/>
  <c r="D21" i="12"/>
  <c r="C22" i="12"/>
  <c r="D22" i="12"/>
  <c r="C23" i="12"/>
  <c r="D23" i="12"/>
  <c r="C24" i="12"/>
  <c r="D24" i="12"/>
  <c r="C25" i="12"/>
  <c r="D25" i="12"/>
  <c r="C26" i="12"/>
  <c r="D26" i="12"/>
  <c r="C27" i="12"/>
  <c r="D27" i="12"/>
  <c r="C28" i="12"/>
  <c r="D28" i="12"/>
  <c r="C29" i="12"/>
  <c r="D29" i="12"/>
  <c r="C30" i="12"/>
  <c r="D30" i="12"/>
  <c r="C31" i="12"/>
  <c r="D31" i="12"/>
  <c r="C32" i="12"/>
  <c r="D32" i="12"/>
  <c r="C33" i="12"/>
  <c r="D33" i="12"/>
  <c r="C34" i="12"/>
  <c r="D34" i="12"/>
  <c r="C35" i="12"/>
  <c r="D35" i="12"/>
  <c r="C36" i="12"/>
  <c r="D36" i="12"/>
  <c r="D7" i="12"/>
  <c r="C7" i="12"/>
  <c r="B6" i="12"/>
  <c r="C6" i="12"/>
  <c r="C4" i="12"/>
  <c r="B4" i="12"/>
  <c r="C3" i="12"/>
  <c r="B3" i="12"/>
  <c r="B2" i="12"/>
  <c r="C8" i="11"/>
  <c r="D8" i="11"/>
  <c r="C9" i="11"/>
  <c r="D9" i="11"/>
  <c r="C10" i="11"/>
  <c r="D10" i="11"/>
  <c r="C11" i="11"/>
  <c r="D11" i="11"/>
  <c r="C12" i="11"/>
  <c r="D12" i="11"/>
  <c r="C13" i="11"/>
  <c r="D13" i="11"/>
  <c r="C14" i="11"/>
  <c r="D14" i="11"/>
  <c r="C15" i="11"/>
  <c r="D15" i="11"/>
  <c r="C16" i="11"/>
  <c r="D16" i="11"/>
  <c r="C17" i="11"/>
  <c r="D17" i="11"/>
  <c r="C18" i="11"/>
  <c r="D18" i="11"/>
  <c r="C19" i="11"/>
  <c r="D19" i="11"/>
  <c r="C20" i="11"/>
  <c r="D20" i="11"/>
  <c r="C21" i="11"/>
  <c r="D21" i="11"/>
  <c r="C22" i="11"/>
  <c r="D22" i="11"/>
  <c r="C23" i="11"/>
  <c r="D23" i="11"/>
  <c r="C24" i="11"/>
  <c r="D24" i="11"/>
  <c r="C25" i="11"/>
  <c r="D25" i="11"/>
  <c r="C26" i="11"/>
  <c r="D26" i="11"/>
  <c r="C27" i="11"/>
  <c r="D27" i="11"/>
  <c r="C28" i="11"/>
  <c r="D28" i="11"/>
  <c r="C29" i="11"/>
  <c r="D29" i="11"/>
  <c r="C30" i="11"/>
  <c r="D30" i="11"/>
  <c r="C31" i="11"/>
  <c r="D31" i="11"/>
  <c r="C32" i="11"/>
  <c r="D32" i="11"/>
  <c r="C33" i="11"/>
  <c r="D33" i="11"/>
  <c r="C34" i="11"/>
  <c r="D34" i="11"/>
  <c r="C35" i="11"/>
  <c r="D35" i="11"/>
  <c r="C36" i="11"/>
  <c r="D36" i="11"/>
  <c r="D7" i="11"/>
  <c r="C7" i="11"/>
  <c r="B6" i="11"/>
  <c r="C6" i="11"/>
  <c r="C4" i="11"/>
  <c r="B4" i="11"/>
  <c r="C3" i="11"/>
  <c r="B3" i="11"/>
  <c r="B2" i="11"/>
  <c r="C8" i="10"/>
  <c r="D8" i="10"/>
  <c r="C9" i="10"/>
  <c r="D9" i="10"/>
  <c r="C10" i="10"/>
  <c r="D10" i="10"/>
  <c r="C11" i="10"/>
  <c r="D11" i="10"/>
  <c r="C12" i="10"/>
  <c r="D12" i="10"/>
  <c r="C13" i="10"/>
  <c r="D13" i="10"/>
  <c r="C14" i="10"/>
  <c r="D14" i="10"/>
  <c r="C15" i="10"/>
  <c r="D15" i="10"/>
  <c r="C16" i="10"/>
  <c r="D16" i="10"/>
  <c r="C17" i="10"/>
  <c r="D17" i="10"/>
  <c r="C18" i="10"/>
  <c r="D18" i="10"/>
  <c r="C19" i="10"/>
  <c r="D19" i="10"/>
  <c r="C20" i="10"/>
  <c r="D20" i="10"/>
  <c r="C21" i="10"/>
  <c r="D21" i="10"/>
  <c r="E21" i="10"/>
  <c r="C22" i="10"/>
  <c r="D22" i="10"/>
  <c r="C23" i="10"/>
  <c r="D23" i="10"/>
  <c r="C24" i="10"/>
  <c r="D24" i="10"/>
  <c r="C25" i="10"/>
  <c r="D25" i="10"/>
  <c r="C26" i="10"/>
  <c r="D26" i="10"/>
  <c r="C27" i="10"/>
  <c r="D27" i="10"/>
  <c r="C28" i="10"/>
  <c r="D28" i="10"/>
  <c r="C29" i="10"/>
  <c r="D29" i="10"/>
  <c r="C30" i="10"/>
  <c r="D30" i="10"/>
  <c r="C31" i="10"/>
  <c r="D31" i="10"/>
  <c r="C32" i="10"/>
  <c r="D32" i="10"/>
  <c r="E32" i="10"/>
  <c r="C33" i="10"/>
  <c r="D33" i="10"/>
  <c r="C34" i="10"/>
  <c r="D34" i="10"/>
  <c r="C35" i="10"/>
  <c r="D35" i="10"/>
  <c r="C36" i="10"/>
  <c r="D36" i="10"/>
  <c r="C37" i="10"/>
  <c r="D37" i="10"/>
  <c r="E7" i="10"/>
  <c r="D7" i="10"/>
  <c r="C7" i="10"/>
  <c r="B6" i="10"/>
  <c r="C6" i="10"/>
  <c r="C4" i="10"/>
  <c r="B4" i="10"/>
  <c r="C3" i="10"/>
  <c r="B3" i="10"/>
  <c r="B2" i="10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C32" i="9"/>
  <c r="D32" i="9"/>
  <c r="C33" i="9"/>
  <c r="D33" i="9"/>
  <c r="C34" i="9"/>
  <c r="D34" i="9"/>
  <c r="C35" i="9"/>
  <c r="D35" i="9"/>
  <c r="C36" i="9"/>
  <c r="D36" i="9"/>
  <c r="C37" i="9"/>
  <c r="D37" i="9"/>
  <c r="E7" i="9"/>
  <c r="D7" i="9"/>
  <c r="C7" i="9"/>
  <c r="B6" i="9"/>
  <c r="C6" i="9"/>
  <c r="C4" i="9"/>
  <c r="B4" i="9"/>
  <c r="C3" i="9"/>
  <c r="B3" i="9"/>
  <c r="B2" i="9"/>
  <c r="C8" i="8"/>
  <c r="D8" i="8"/>
  <c r="C9" i="8"/>
  <c r="D9" i="8"/>
  <c r="C10" i="8"/>
  <c r="D10" i="8"/>
  <c r="C11" i="8"/>
  <c r="D11" i="8"/>
  <c r="C12" i="8"/>
  <c r="D12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6" i="8"/>
  <c r="D26" i="8"/>
  <c r="C27" i="8"/>
  <c r="D27" i="8"/>
  <c r="C28" i="8"/>
  <c r="D28" i="8"/>
  <c r="C29" i="8"/>
  <c r="D29" i="8"/>
  <c r="C30" i="8"/>
  <c r="D30" i="8"/>
  <c r="C31" i="8"/>
  <c r="D31" i="8"/>
  <c r="C32" i="8"/>
  <c r="D32" i="8"/>
  <c r="C33" i="8"/>
  <c r="D33" i="8"/>
  <c r="C34" i="8"/>
  <c r="D34" i="8"/>
  <c r="C35" i="8"/>
  <c r="D35" i="8"/>
  <c r="C36" i="8"/>
  <c r="D36" i="8"/>
  <c r="D7" i="8"/>
  <c r="C7" i="8"/>
  <c r="B6" i="8"/>
  <c r="C6" i="8"/>
  <c r="C4" i="8"/>
  <c r="B4" i="8"/>
  <c r="C3" i="8"/>
  <c r="B3" i="8"/>
  <c r="B2" i="8"/>
  <c r="C8" i="7"/>
  <c r="D8" i="7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C29" i="7"/>
  <c r="D29" i="7"/>
  <c r="C30" i="7"/>
  <c r="D30" i="7"/>
  <c r="C31" i="7"/>
  <c r="D31" i="7"/>
  <c r="C32" i="7"/>
  <c r="D32" i="7"/>
  <c r="C33" i="7"/>
  <c r="D33" i="7"/>
  <c r="C34" i="7"/>
  <c r="D34" i="7"/>
  <c r="C35" i="7"/>
  <c r="D35" i="7"/>
  <c r="C36" i="7"/>
  <c r="D36" i="7"/>
  <c r="C37" i="7"/>
  <c r="D37" i="7"/>
  <c r="D7" i="7"/>
  <c r="C7" i="7"/>
  <c r="B6" i="7"/>
  <c r="C6" i="7"/>
  <c r="C4" i="7"/>
  <c r="B4" i="7"/>
  <c r="C3" i="7"/>
  <c r="B3" i="7"/>
  <c r="B2" i="7"/>
  <c r="C8" i="6"/>
  <c r="D8" i="6"/>
  <c r="C9" i="6"/>
  <c r="D9" i="6"/>
  <c r="C10" i="6"/>
  <c r="D10" i="6"/>
  <c r="C11" i="6"/>
  <c r="D11" i="6"/>
  <c r="C12" i="6"/>
  <c r="D12" i="6"/>
  <c r="C13" i="6"/>
  <c r="D13" i="6"/>
  <c r="C14" i="6"/>
  <c r="D14" i="6"/>
  <c r="C15" i="6"/>
  <c r="D15" i="6"/>
  <c r="C16" i="6"/>
  <c r="D16" i="6"/>
  <c r="C17" i="6"/>
  <c r="D17" i="6"/>
  <c r="C18" i="6"/>
  <c r="D18" i="6"/>
  <c r="C19" i="6"/>
  <c r="D19" i="6"/>
  <c r="C20" i="6"/>
  <c r="D20" i="6"/>
  <c r="C21" i="6"/>
  <c r="D21" i="6"/>
  <c r="C22" i="6"/>
  <c r="D22" i="6"/>
  <c r="C23" i="6"/>
  <c r="D23" i="6"/>
  <c r="C24" i="6"/>
  <c r="D24" i="6"/>
  <c r="C25" i="6"/>
  <c r="D25" i="6"/>
  <c r="C26" i="6"/>
  <c r="D26" i="6"/>
  <c r="C27" i="6"/>
  <c r="D27" i="6"/>
  <c r="C28" i="6"/>
  <c r="D28" i="6"/>
  <c r="C29" i="6"/>
  <c r="D29" i="6"/>
  <c r="C30" i="6"/>
  <c r="D30" i="6"/>
  <c r="C31" i="6"/>
  <c r="D31" i="6"/>
  <c r="C32" i="6"/>
  <c r="D32" i="6"/>
  <c r="C33" i="6"/>
  <c r="D33" i="6"/>
  <c r="C34" i="6"/>
  <c r="D34" i="6"/>
  <c r="C35" i="6"/>
  <c r="D35" i="6"/>
  <c r="C36" i="6"/>
  <c r="D36" i="6"/>
  <c r="D7" i="6"/>
  <c r="C7" i="6"/>
  <c r="B6" i="6"/>
  <c r="C6" i="6"/>
  <c r="C4" i="6"/>
  <c r="B4" i="6"/>
  <c r="C3" i="6"/>
  <c r="B3" i="6"/>
  <c r="B2" i="6"/>
  <c r="B6" i="5"/>
  <c r="C4" i="5"/>
  <c r="B4" i="5"/>
  <c r="C3" i="5"/>
  <c r="B3" i="5"/>
  <c r="B2" i="5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7" i="3"/>
  <c r="B6" i="3"/>
  <c r="C6" i="3"/>
  <c r="C4" i="3"/>
  <c r="B4" i="3"/>
  <c r="C3" i="3"/>
  <c r="B3" i="3"/>
  <c r="B2" i="3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2" i="14"/>
  <c r="E33" i="14"/>
  <c r="E34" i="14"/>
  <c r="E35" i="14"/>
  <c r="E36" i="14"/>
  <c r="E7" i="14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7" i="12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7" i="11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2" i="10"/>
  <c r="E23" i="10"/>
  <c r="E24" i="10"/>
  <c r="E25" i="10"/>
  <c r="E26" i="10"/>
  <c r="E27" i="10"/>
  <c r="E28" i="10"/>
  <c r="E29" i="10"/>
  <c r="E30" i="10"/>
  <c r="E31" i="10"/>
  <c r="E33" i="10"/>
  <c r="E34" i="10"/>
  <c r="E35" i="10"/>
  <c r="E36" i="10"/>
  <c r="E37" i="10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B31" i="1" l="1"/>
  <c r="B32" i="1" s="1"/>
  <c r="B33" i="1" s="1"/>
  <c r="B34" i="1" s="1"/>
  <c r="B35" i="1" s="1"/>
  <c r="F5" i="1" s="1"/>
  <c r="E39" i="10"/>
  <c r="E39" i="13"/>
  <c r="E39" i="14"/>
  <c r="E39" i="12"/>
  <c r="E39" i="11"/>
  <c r="E39" i="9"/>
  <c r="C4" i="2"/>
  <c r="B4" i="2"/>
  <c r="C8" i="2"/>
  <c r="D8" i="2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D7" i="2"/>
  <c r="C7" i="2"/>
  <c r="B6" i="2"/>
  <c r="C3" i="2"/>
  <c r="B3" i="2"/>
  <c r="B2" i="2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7" i="8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7" i="7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7" i="6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7" i="5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7" i="3"/>
  <c r="E3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7" i="2"/>
  <c r="E39" i="8" l="1"/>
  <c r="E39" i="7"/>
  <c r="E39" i="5"/>
  <c r="E39" i="6"/>
  <c r="E39" i="3"/>
  <c r="E39" i="2"/>
  <c r="AF72" i="1"/>
  <c r="F6" i="1" l="1"/>
  <c r="AB72" i="1"/>
  <c r="AA72" i="1"/>
  <c r="AC72" i="1"/>
  <c r="AF36" i="1"/>
  <c r="AE36" i="1"/>
  <c r="AD36" i="1"/>
  <c r="AC36" i="1"/>
  <c r="AB36" i="1"/>
  <c r="F7" i="1" l="1"/>
  <c r="F8" i="1" s="1"/>
  <c r="F9" i="1" s="1"/>
  <c r="F10" i="1" s="1"/>
  <c r="F11" i="1" s="1"/>
  <c r="AA36" i="1"/>
  <c r="V74" i="1"/>
  <c r="E6" i="1"/>
  <c r="E7" i="1" s="1"/>
  <c r="F12" i="1" l="1"/>
  <c r="F13" i="1" s="1"/>
  <c r="F14" i="1" s="1"/>
  <c r="F15" i="1" s="1"/>
  <c r="F16" i="1" s="1"/>
  <c r="F17" i="1" s="1"/>
  <c r="F18" i="1" s="1"/>
  <c r="E8" i="1"/>
  <c r="E9" i="1" s="1"/>
  <c r="E10" i="1" s="1"/>
  <c r="E11" i="1" s="1"/>
  <c r="E12" i="1" s="1"/>
  <c r="E13" i="1" s="1"/>
  <c r="E14" i="1" s="1"/>
  <c r="E15" i="1" l="1"/>
  <c r="E16" i="1" s="1"/>
  <c r="F19" i="1"/>
  <c r="F20" i="1" s="1"/>
  <c r="E17" i="1" l="1"/>
  <c r="F21" i="1"/>
  <c r="F22" i="1" s="1"/>
  <c r="F23" i="1" s="1"/>
  <c r="F24" i="1" s="1"/>
  <c r="F25" i="1" s="1"/>
  <c r="E18" i="1" l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F26" i="1"/>
  <c r="F27" i="1" s="1"/>
  <c r="E31" i="1" l="1"/>
  <c r="E32" i="1" s="1"/>
  <c r="E33" i="1" s="1"/>
  <c r="E34" i="1" s="1"/>
  <c r="E35" i="1" s="1"/>
  <c r="F28" i="1"/>
  <c r="F29" i="1" s="1"/>
  <c r="F30" i="1" s="1"/>
  <c r="F31" i="1" s="1"/>
  <c r="F32" i="1" s="1"/>
  <c r="J5" i="1" s="1"/>
  <c r="J6" i="1" l="1"/>
  <c r="J7" i="1" s="1"/>
  <c r="J8" i="1" s="1"/>
  <c r="J9" i="1" s="1"/>
  <c r="I5" i="1"/>
  <c r="I6" i="1" l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B7" i="5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J10" i="1"/>
  <c r="J11" i="1" s="1"/>
  <c r="I19" i="1" l="1"/>
  <c r="I20" i="1" s="1"/>
  <c r="I21" i="1" l="1"/>
  <c r="I22" i="1" s="1"/>
  <c r="I23" i="1" s="1"/>
  <c r="I24" i="1" s="1"/>
  <c r="I25" i="1" s="1"/>
  <c r="J12" i="1"/>
  <c r="J13" i="1" s="1"/>
  <c r="I26" i="1" l="1"/>
  <c r="I27" i="1" s="1"/>
  <c r="I28" i="1" l="1"/>
  <c r="I29" i="1" s="1"/>
  <c r="I30" i="1" s="1"/>
  <c r="I31" i="1" s="1"/>
  <c r="I32" i="1" s="1"/>
  <c r="M5" i="1" s="1"/>
  <c r="J14" i="1"/>
  <c r="M6" i="1" l="1"/>
  <c r="M7" i="1" s="1"/>
  <c r="M8" i="1" s="1"/>
  <c r="M9" i="1" s="1"/>
  <c r="M10" i="1" s="1"/>
  <c r="J15" i="1"/>
  <c r="M11" i="1" l="1"/>
  <c r="M12" i="1" s="1"/>
  <c r="J16" i="1"/>
  <c r="M13" i="1" l="1"/>
  <c r="M14" i="1" s="1"/>
  <c r="M15" i="1" s="1"/>
  <c r="M16" i="1" s="1"/>
  <c r="M17" i="1" s="1"/>
  <c r="M18" i="1" s="1"/>
  <c r="J17" i="1"/>
  <c r="J18" i="1" s="1"/>
  <c r="J19" i="1" s="1"/>
  <c r="J20" i="1" l="1"/>
  <c r="M19" i="1"/>
  <c r="M20" i="1" s="1"/>
  <c r="J21" i="1" l="1"/>
  <c r="J22" i="1" s="1"/>
  <c r="J23" i="1" s="1"/>
  <c r="M21" i="1"/>
  <c r="M22" i="1" s="1"/>
  <c r="M23" i="1" s="1"/>
  <c r="M24" i="1" l="1"/>
  <c r="M25" i="1" s="1"/>
  <c r="J24" i="1" l="1"/>
  <c r="J25" i="1" s="1"/>
  <c r="J26" i="1" l="1"/>
  <c r="J27" i="1" s="1"/>
  <c r="M26" i="1"/>
  <c r="M27" i="1" s="1"/>
  <c r="J28" i="1" l="1"/>
  <c r="M28" i="1"/>
  <c r="M29" i="1" s="1"/>
  <c r="M30" i="1" s="1"/>
  <c r="M31" i="1" s="1"/>
  <c r="M32" i="1" s="1"/>
  <c r="J29" i="1" l="1"/>
  <c r="J30" i="1" l="1"/>
  <c r="J31" i="1" l="1"/>
  <c r="J32" i="1" s="1"/>
  <c r="AE72" i="1" l="1"/>
  <c r="J33" i="1" l="1"/>
  <c r="J34" i="1" s="1"/>
  <c r="M33" i="1"/>
  <c r="M34" i="1" l="1"/>
  <c r="M35" i="1" s="1"/>
  <c r="Q5" i="1" s="1"/>
  <c r="Q6" i="1" s="1"/>
  <c r="Q7" i="1" s="1"/>
  <c r="Q8" i="1" s="1"/>
  <c r="Q9" i="1" s="1"/>
  <c r="Q10" i="1" s="1"/>
  <c r="Q11" i="1" s="1"/>
  <c r="J35" i="1"/>
  <c r="N5" i="1" s="1"/>
  <c r="AD72" i="1"/>
  <c r="Q12" i="1" l="1"/>
  <c r="Q13" i="1" s="1"/>
  <c r="Q14" i="1" s="1"/>
  <c r="Q15" i="1" s="1"/>
  <c r="Q16" i="1" s="1"/>
  <c r="Q17" i="1" s="1"/>
  <c r="Q18" i="1" s="1"/>
  <c r="N6" i="1" l="1"/>
  <c r="N7" i="1" l="1"/>
  <c r="N8" i="1" s="1"/>
  <c r="N9" i="1" s="1"/>
  <c r="N10" i="1" s="1"/>
  <c r="N11" i="1" s="1"/>
  <c r="N12" i="1" l="1"/>
  <c r="N13" i="1" s="1"/>
  <c r="N14" i="1" s="1"/>
  <c r="N15" i="1" s="1"/>
  <c r="N16" i="1" s="1"/>
  <c r="N17" i="1" s="1"/>
  <c r="N18" i="1" s="1"/>
  <c r="N19" i="1" l="1"/>
  <c r="N20" i="1" l="1"/>
  <c r="N21" i="1" l="1"/>
  <c r="N22" i="1" s="1"/>
  <c r="N23" i="1" s="1"/>
  <c r="N24" i="1" s="1"/>
  <c r="N25" i="1" s="1"/>
  <c r="N26" i="1" s="1"/>
  <c r="N27" i="1" l="1"/>
  <c r="N28" i="1" l="1"/>
  <c r="N29" i="1" s="1"/>
  <c r="N30" i="1" s="1"/>
  <c r="N31" i="1" s="1"/>
  <c r="N32" i="1" s="1"/>
  <c r="N33" i="1" l="1"/>
  <c r="N34" i="1" l="1"/>
  <c r="R5" i="1" s="1"/>
  <c r="R6" i="1" l="1"/>
  <c r="R7" i="1" s="1"/>
  <c r="R8" i="1" s="1"/>
  <c r="R9" i="1" s="1"/>
  <c r="R10" i="1" s="1"/>
  <c r="R11" i="1" s="1"/>
  <c r="R12" i="1" s="1"/>
  <c r="R13" i="1" l="1"/>
  <c r="R14" i="1" s="1"/>
  <c r="R15" i="1" l="1"/>
  <c r="R16" i="1" s="1"/>
  <c r="R17" i="1" s="1"/>
  <c r="R18" i="1" s="1"/>
  <c r="R19" i="1" s="1"/>
  <c r="R20" i="1" s="1"/>
  <c r="R21" i="1" s="1"/>
  <c r="R22" i="1" l="1"/>
  <c r="R23" i="1" s="1"/>
  <c r="R24" i="1" s="1"/>
  <c r="R25" i="1" s="1"/>
  <c r="R26" i="1" s="1"/>
  <c r="R27" i="1" s="1"/>
  <c r="R28" i="1" s="1"/>
  <c r="R29" i="1" l="1"/>
  <c r="R30" i="1" s="1"/>
  <c r="R31" i="1" s="1"/>
  <c r="R32" i="1" s="1"/>
  <c r="R33" i="1" s="1"/>
  <c r="R34" i="1" s="1"/>
  <c r="R35" i="1" s="1"/>
  <c r="V5" i="1" s="1"/>
  <c r="V6" i="1" l="1"/>
  <c r="V7" i="1" s="1"/>
  <c r="V8" i="1" s="1"/>
  <c r="V9" i="1" s="1"/>
  <c r="V10" i="1" s="1"/>
  <c r="V11" i="1" s="1"/>
  <c r="V12" i="1" s="1"/>
  <c r="V13" i="1" s="1"/>
  <c r="V14" i="1" s="1"/>
  <c r="V15" i="1" l="1"/>
  <c r="V16" i="1" s="1"/>
  <c r="V17" i="1" s="1"/>
  <c r="V18" i="1" s="1"/>
  <c r="V19" i="1" s="1"/>
  <c r="V20" i="1" s="1"/>
  <c r="V21" i="1" l="1"/>
  <c r="V22" i="1" s="1"/>
  <c r="V23" i="1" s="1"/>
  <c r="V24" i="1" s="1"/>
  <c r="V25" i="1" s="1"/>
  <c r="V26" i="1" s="1"/>
  <c r="V27" i="1" s="1"/>
  <c r="V28" i="1" l="1"/>
  <c r="V29" i="1" s="1"/>
  <c r="V30" i="1" s="1"/>
  <c r="V31" i="1" s="1"/>
  <c r="V32" i="1" s="1"/>
  <c r="V33" i="1" s="1"/>
  <c r="V34" i="1" s="1"/>
  <c r="B41" i="1" l="1"/>
  <c r="B42" i="1" s="1"/>
  <c r="B43" i="1" s="1"/>
  <c r="B44" i="1" s="1"/>
  <c r="B45" i="1" s="1"/>
  <c r="B46" i="1" s="1"/>
  <c r="B47" i="1" s="1"/>
  <c r="B48" i="1" l="1"/>
  <c r="B49" i="1" s="1"/>
  <c r="B50" i="1" s="1"/>
  <c r="B51" i="1" s="1"/>
  <c r="B52" i="1" s="1"/>
  <c r="B53" i="1" s="1"/>
  <c r="B54" i="1" s="1"/>
  <c r="B55" i="1" l="1"/>
  <c r="B56" i="1" s="1"/>
  <c r="B57" i="1" s="1"/>
  <c r="B58" i="1" s="1"/>
  <c r="B59" i="1" s="1"/>
  <c r="B60" i="1" s="1"/>
  <c r="B61" i="1" s="1"/>
  <c r="B62" i="1" l="1"/>
  <c r="B63" i="1" s="1"/>
  <c r="B64" i="1" s="1"/>
  <c r="B65" i="1" s="1"/>
  <c r="B66" i="1" s="1"/>
  <c r="B67" i="1" s="1"/>
  <c r="B68" i="1" s="1"/>
  <c r="B69" i="1" l="1"/>
  <c r="B70" i="1" s="1"/>
  <c r="B71" i="1" s="1"/>
  <c r="F41" i="1" l="1"/>
  <c r="F42" i="1" s="1"/>
  <c r="F43" i="1" s="1"/>
  <c r="F44" i="1" s="1"/>
  <c r="F45" i="1" l="1"/>
  <c r="F46" i="1" s="1"/>
  <c r="F47" i="1" s="1"/>
  <c r="F48" i="1" s="1"/>
  <c r="F49" i="1" s="1"/>
  <c r="F50" i="1" s="1"/>
  <c r="F51" i="1" s="1"/>
  <c r="F52" i="1" l="1"/>
  <c r="F53" i="1" s="1"/>
  <c r="F54" i="1" s="1"/>
  <c r="F55" i="1" s="1"/>
  <c r="F56" i="1" s="1"/>
  <c r="F57" i="1" s="1"/>
  <c r="F58" i="1" s="1"/>
  <c r="F59" i="1" l="1"/>
  <c r="F60" i="1" s="1"/>
  <c r="F61" i="1" s="1"/>
  <c r="F62" i="1" s="1"/>
  <c r="F63" i="1" s="1"/>
  <c r="F64" i="1" s="1"/>
  <c r="F65" i="1" s="1"/>
  <c r="F66" i="1" l="1"/>
  <c r="F67" i="1" s="1"/>
  <c r="F68" i="1" s="1"/>
  <c r="F69" i="1" s="1"/>
  <c r="F70" i="1" s="1"/>
  <c r="F71" i="1" s="1"/>
  <c r="J41" i="1" s="1"/>
  <c r="J42" i="1" l="1"/>
  <c r="J43" i="1" s="1"/>
  <c r="J44" i="1" s="1"/>
  <c r="J45" i="1" s="1"/>
  <c r="J46" i="1" s="1"/>
  <c r="J47" i="1" s="1"/>
  <c r="J48" i="1" s="1"/>
  <c r="J49" i="1" l="1"/>
  <c r="J50" i="1" s="1"/>
  <c r="J51" i="1" s="1"/>
  <c r="J52" i="1" s="1"/>
  <c r="J53" i="1" s="1"/>
  <c r="J54" i="1" s="1"/>
  <c r="J55" i="1" s="1"/>
  <c r="J56" i="1" l="1"/>
  <c r="J57" i="1" s="1"/>
  <c r="J58" i="1" s="1"/>
  <c r="J59" i="1" s="1"/>
  <c r="J60" i="1" s="1"/>
  <c r="J61" i="1" s="1"/>
  <c r="J62" i="1" s="1"/>
  <c r="J63" i="1" l="1"/>
  <c r="J64" i="1" s="1"/>
  <c r="J65" i="1" s="1"/>
  <c r="J66" i="1" s="1"/>
  <c r="J67" i="1" s="1"/>
  <c r="J68" i="1" s="1"/>
  <c r="J69" i="1" s="1"/>
  <c r="J70" i="1" l="1"/>
  <c r="N41" i="1" s="1"/>
  <c r="N42" i="1" s="1"/>
  <c r="N43" i="1" s="1"/>
  <c r="N44" i="1" s="1"/>
  <c r="N45" i="1" s="1"/>
  <c r="N46" i="1" s="1"/>
  <c r="N47" i="1" l="1"/>
  <c r="N48" i="1" s="1"/>
  <c r="N49" i="1" s="1"/>
  <c r="N50" i="1" s="1"/>
  <c r="N51" i="1" s="1"/>
  <c r="N52" i="1" s="1"/>
  <c r="N53" i="1" s="1"/>
  <c r="N54" i="1" l="1"/>
  <c r="N55" i="1" s="1"/>
  <c r="N56" i="1" s="1"/>
  <c r="N57" i="1" s="1"/>
  <c r="N58" i="1" s="1"/>
  <c r="N59" i="1" s="1"/>
  <c r="N60" i="1" s="1"/>
  <c r="N61" i="1" l="1"/>
  <c r="N62" i="1" s="1"/>
  <c r="N63" i="1" l="1"/>
  <c r="N64" i="1" s="1"/>
  <c r="N65" i="1" s="1"/>
  <c r="N66" i="1" s="1"/>
  <c r="N67" i="1" s="1"/>
  <c r="N68" i="1" s="1"/>
  <c r="N69" i="1" s="1"/>
  <c r="N70" i="1" s="1"/>
  <c r="N71" i="1" s="1"/>
  <c r="R41" i="1" l="1"/>
  <c r="R42" i="1" s="1"/>
  <c r="R43" i="1" s="1"/>
  <c r="R44" i="1" l="1"/>
  <c r="R45" i="1" s="1"/>
  <c r="R46" i="1" s="1"/>
  <c r="R47" i="1" s="1"/>
  <c r="R48" i="1" s="1"/>
  <c r="R49" i="1" s="1"/>
  <c r="R50" i="1" s="1"/>
  <c r="R51" i="1" l="1"/>
  <c r="R52" i="1" s="1"/>
  <c r="R53" i="1" s="1"/>
  <c r="R54" i="1" s="1"/>
  <c r="R55" i="1" s="1"/>
  <c r="R56" i="1" s="1"/>
  <c r="R57" i="1" s="1"/>
  <c r="R58" i="1" l="1"/>
  <c r="R59" i="1" s="1"/>
  <c r="R60" i="1" s="1"/>
  <c r="R61" i="1" s="1"/>
  <c r="R62" i="1" s="1"/>
  <c r="R63" i="1" s="1"/>
  <c r="R64" i="1" s="1"/>
  <c r="R65" i="1" l="1"/>
  <c r="R66" i="1" s="1"/>
  <c r="R67" i="1" s="1"/>
  <c r="R68" i="1" s="1"/>
  <c r="R69" i="1" s="1"/>
  <c r="R70" i="1" s="1"/>
  <c r="V41" i="1" s="1"/>
  <c r="V42" i="1" l="1"/>
  <c r="V43" i="1" s="1"/>
  <c r="V44" i="1" s="1"/>
  <c r="V45" i="1" s="1"/>
  <c r="V46" i="1" s="1"/>
  <c r="V47" i="1" s="1"/>
  <c r="V48" i="1" s="1"/>
  <c r="V49" i="1" l="1"/>
  <c r="V50" i="1" s="1"/>
  <c r="V51" i="1" s="1"/>
  <c r="V52" i="1" s="1"/>
  <c r="V53" i="1" s="1"/>
  <c r="V54" i="1" s="1"/>
  <c r="V55" i="1" s="1"/>
  <c r="V56" i="1" l="1"/>
  <c r="V57" i="1" s="1"/>
  <c r="V58" i="1" s="1"/>
  <c r="V59" i="1" s="1"/>
  <c r="V60" i="1" s="1"/>
  <c r="V61" i="1" s="1"/>
  <c r="V62" i="1" s="1"/>
  <c r="V63" i="1" s="1"/>
  <c r="V64" i="1" l="1"/>
  <c r="V65" i="1" l="1"/>
  <c r="V66" i="1" l="1"/>
  <c r="V67" i="1" l="1"/>
  <c r="V68" i="1" l="1"/>
  <c r="V69" i="1" l="1"/>
  <c r="V70" i="1" l="1"/>
  <c r="V71" i="1" l="1"/>
  <c r="Q19" i="1"/>
  <c r="Q20" i="1" s="1"/>
  <c r="Q21" i="1" s="1"/>
  <c r="Q22" i="1" l="1"/>
  <c r="Q23" i="1" s="1"/>
  <c r="Q24" i="1" s="1"/>
  <c r="Q25" i="1" s="1"/>
  <c r="Q26" i="1" s="1"/>
  <c r="Q27" i="1" s="1"/>
  <c r="Q28" i="1" s="1"/>
  <c r="Q29" i="1" l="1"/>
  <c r="Q30" i="1" s="1"/>
  <c r="Q31" i="1" s="1"/>
  <c r="Q32" i="1" s="1"/>
  <c r="Q33" i="1" s="1"/>
  <c r="Q34" i="1" s="1"/>
  <c r="U5" i="1" s="1"/>
  <c r="U6" i="1" l="1"/>
  <c r="U7" i="1" s="1"/>
  <c r="U8" i="1" s="1"/>
  <c r="U9" i="1" s="1"/>
  <c r="U10" i="1" s="1"/>
  <c r="U11" i="1" s="1"/>
  <c r="U12" i="1" s="1"/>
  <c r="U13" i="1" s="1"/>
  <c r="U14" i="1" s="1"/>
  <c r="U15" i="1" l="1"/>
  <c r="U16" i="1" s="1"/>
  <c r="U17" i="1" s="1"/>
  <c r="U18" i="1" s="1"/>
  <c r="U19" i="1" s="1"/>
  <c r="U20" i="1" s="1"/>
  <c r="U21" i="1" s="1"/>
  <c r="U22" i="1" l="1"/>
  <c r="U23" i="1" s="1"/>
  <c r="U24" i="1" s="1"/>
  <c r="U25" i="1" s="1"/>
  <c r="U26" i="1" s="1"/>
  <c r="U27" i="1" s="1"/>
  <c r="U28" i="1" s="1"/>
  <c r="U29" i="1" l="1"/>
  <c r="U30" i="1" s="1"/>
  <c r="U31" i="1" s="1"/>
  <c r="U32" i="1" s="1"/>
  <c r="U33" i="1" s="1"/>
  <c r="U34" i="1" s="1"/>
  <c r="U35" i="1" s="1"/>
  <c r="Y5" i="1" s="1"/>
  <c r="Y6" i="1" l="1"/>
  <c r="Y7" i="1" s="1"/>
  <c r="Y8" i="1" s="1"/>
  <c r="Y9" i="1" s="1"/>
  <c r="Y10" i="1" l="1"/>
  <c r="Y11" i="1" s="1"/>
  <c r="Y12" i="1" s="1"/>
  <c r="Y13" i="1" s="1"/>
  <c r="Y14" i="1" s="1"/>
  <c r="Y15" i="1" s="1"/>
  <c r="Y16" i="1" s="1"/>
  <c r="Y17" i="1" s="1"/>
  <c r="Y18" i="1" s="1"/>
  <c r="Y19" i="1" l="1"/>
  <c r="Y20" i="1" s="1"/>
  <c r="Y21" i="1" s="1"/>
  <c r="Y22" i="1" s="1"/>
  <c r="Y23" i="1" s="1"/>
  <c r="Y24" i="1" s="1"/>
  <c r="Y25" i="1" s="1"/>
  <c r="Y26" i="1" l="1"/>
  <c r="Y27" i="1" s="1"/>
  <c r="Y28" i="1" s="1"/>
  <c r="Y29" i="1" s="1"/>
  <c r="Y30" i="1" s="1"/>
  <c r="Y31" i="1" s="1"/>
  <c r="Y32" i="1" s="1"/>
  <c r="Y33" i="1" l="1"/>
  <c r="Y34" i="1" s="1"/>
  <c r="E41" i="1" s="1"/>
  <c r="E42" i="1" s="1"/>
  <c r="E43" i="1" s="1"/>
  <c r="E44" i="1" l="1"/>
  <c r="E45" i="1" s="1"/>
  <c r="E46" i="1" s="1"/>
  <c r="E47" i="1" s="1"/>
  <c r="E48" i="1" s="1"/>
  <c r="E49" i="1" s="1"/>
  <c r="E50" i="1" s="1"/>
  <c r="E51" i="1" s="1"/>
  <c r="E52" i="1" s="1"/>
  <c r="E53" i="1" l="1"/>
  <c r="E54" i="1" s="1"/>
  <c r="E55" i="1" s="1"/>
  <c r="E56" i="1" s="1"/>
  <c r="E57" i="1" s="1"/>
  <c r="E58" i="1" s="1"/>
  <c r="E59" i="1" s="1"/>
  <c r="E60" i="1" l="1"/>
  <c r="E61" i="1" s="1"/>
  <c r="E62" i="1" s="1"/>
  <c r="E63" i="1" s="1"/>
  <c r="E64" i="1" s="1"/>
  <c r="E65" i="1" s="1"/>
  <c r="E66" i="1" s="1"/>
  <c r="E67" i="1" l="1"/>
  <c r="E68" i="1" s="1"/>
  <c r="E69" i="1" s="1"/>
  <c r="E70" i="1" s="1"/>
  <c r="E71" i="1" s="1"/>
  <c r="I41" i="1" s="1"/>
  <c r="I42" i="1" l="1"/>
  <c r="I43" i="1" s="1"/>
  <c r="I44" i="1" s="1"/>
  <c r="I45" i="1" s="1"/>
  <c r="I46" i="1" s="1"/>
  <c r="I47" i="1" s="1"/>
  <c r="I48" i="1" l="1"/>
  <c r="I49" i="1" s="1"/>
  <c r="I50" i="1" s="1"/>
  <c r="I51" i="1" s="1"/>
  <c r="I52" i="1" s="1"/>
  <c r="I53" i="1" s="1"/>
  <c r="I54" i="1" s="1"/>
  <c r="I55" i="1" s="1"/>
  <c r="I56" i="1" s="1"/>
  <c r="I57" i="1" l="1"/>
  <c r="I58" i="1" s="1"/>
  <c r="I59" i="1" s="1"/>
  <c r="I60" i="1" s="1"/>
  <c r="I61" i="1" s="1"/>
  <c r="I62" i="1" s="1"/>
  <c r="I63" i="1" s="1"/>
  <c r="I64" i="1" l="1"/>
  <c r="I65" i="1" s="1"/>
  <c r="I66" i="1" s="1"/>
  <c r="I67" i="1" s="1"/>
  <c r="I68" i="1" s="1"/>
  <c r="I69" i="1" s="1"/>
  <c r="I70" i="1" s="1"/>
  <c r="I71" i="1" l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Q41" i="1" s="1"/>
  <c r="Q42" i="1" s="1"/>
  <c r="Q43" i="1" l="1"/>
  <c r="Q44" i="1" s="1"/>
  <c r="Q45" i="1" s="1"/>
  <c r="Q46" i="1" s="1"/>
  <c r="Q47" i="1" s="1"/>
  <c r="Q48" i="1" s="1"/>
  <c r="Q49" i="1" s="1"/>
  <c r="Q50" i="1" s="1"/>
  <c r="Q51" i="1" s="1"/>
  <c r="Q52" i="1" l="1"/>
  <c r="Q53" i="1" s="1"/>
  <c r="Q54" i="1" s="1"/>
  <c r="Q55" i="1" s="1"/>
  <c r="Q56" i="1" s="1"/>
  <c r="Q57" i="1" s="1"/>
  <c r="Q58" i="1" s="1"/>
  <c r="Q59" i="1" l="1"/>
  <c r="Q60" i="1" s="1"/>
  <c r="Q61" i="1" s="1"/>
  <c r="Q62" i="1" s="1"/>
  <c r="Q63" i="1" s="1"/>
  <c r="Q64" i="1" s="1"/>
  <c r="Q65" i="1" s="1"/>
  <c r="Q66" i="1" l="1"/>
  <c r="Q67" i="1" s="1"/>
  <c r="Q68" i="1" s="1"/>
  <c r="Q69" i="1" s="1"/>
  <c r="Q70" i="1" s="1"/>
  <c r="Q71" i="1" s="1"/>
  <c r="U41" i="1" s="1"/>
  <c r="U42" i="1" l="1"/>
  <c r="U43" i="1" s="1"/>
  <c r="U44" i="1" s="1"/>
  <c r="U45" i="1" s="1"/>
  <c r="U46" i="1" s="1"/>
  <c r="U47" i="1" l="1"/>
  <c r="U48" i="1" s="1"/>
  <c r="U49" i="1" s="1"/>
  <c r="U50" i="1" s="1"/>
  <c r="U51" i="1" s="1"/>
  <c r="U52" i="1" s="1"/>
  <c r="U53" i="1" s="1"/>
  <c r="U54" i="1" s="1"/>
  <c r="U55" i="1" s="1"/>
  <c r="U56" i="1" l="1"/>
  <c r="U57" i="1" s="1"/>
  <c r="U58" i="1" s="1"/>
  <c r="U59" i="1" s="1"/>
  <c r="U60" i="1" s="1"/>
  <c r="U61" i="1" s="1"/>
  <c r="U62" i="1" s="1"/>
  <c r="U63" i="1" l="1"/>
  <c r="U64" i="1" s="1"/>
  <c r="U65" i="1" s="1"/>
  <c r="U66" i="1" s="1"/>
  <c r="U67" i="1" s="1"/>
  <c r="U68" i="1" s="1"/>
  <c r="U69" i="1" s="1"/>
  <c r="U70" i="1" l="1"/>
  <c r="Y41" i="1" s="1"/>
  <c r="Y42" i="1" s="1"/>
  <c r="Y43" i="1" s="1"/>
  <c r="Y44" i="1" s="1"/>
  <c r="Y45" i="1" l="1"/>
  <c r="Y46" i="1" s="1"/>
  <c r="Y47" i="1" s="1"/>
  <c r="Y48" i="1" s="1"/>
  <c r="Y49" i="1" s="1"/>
  <c r="Y50" i="1" s="1"/>
  <c r="Y51" i="1" s="1"/>
  <c r="Y52" i="1" s="1"/>
  <c r="Y53" i="1" s="1"/>
  <c r="Y54" i="1" l="1"/>
  <c r="Y55" i="1" s="1"/>
  <c r="Y56" i="1" s="1"/>
  <c r="Y57" i="1" s="1"/>
  <c r="Y58" i="1" s="1"/>
  <c r="Y59" i="1" s="1"/>
  <c r="Y60" i="1" s="1"/>
  <c r="Y61" i="1" l="1"/>
  <c r="Y62" i="1" s="1"/>
  <c r="Y63" i="1" s="1"/>
  <c r="Y64" i="1" s="1"/>
  <c r="Y65" i="1" s="1"/>
  <c r="Y66" i="1" s="1"/>
  <c r="Y67" i="1" s="1"/>
  <c r="Y68" i="1" s="1"/>
  <c r="Y69" i="1" s="1"/>
  <c r="Y70" i="1" s="1"/>
  <c r="Y7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Gernot Porer / LP</author>
  </authors>
  <commentList>
    <comment ref="E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zu beachten:</t>
        </r>
        <r>
          <rPr>
            <sz val="9"/>
            <color indexed="81"/>
            <rFont val="Tahoma"/>
            <family val="2"/>
          </rPr>
          <t xml:space="preserve"> für die fortlaufende Tageszahl immer nur am ersten Arbeitstag des Jahres eingeben, rest rechnet selber über Formeln
</t>
        </r>
      </text>
    </comment>
  </commentList>
</comments>
</file>

<file path=xl/sharedStrings.xml><?xml version="1.0" encoding="utf-8"?>
<sst xmlns="http://schemas.openxmlformats.org/spreadsheetml/2006/main" count="1004" uniqueCount="97">
  <si>
    <t>APRIL</t>
  </si>
  <si>
    <t>Neujahr</t>
  </si>
  <si>
    <t>Karfreitag</t>
  </si>
  <si>
    <t>Fronleichnam</t>
  </si>
  <si>
    <t>Ostermontag</t>
  </si>
  <si>
    <t>Auffahrt</t>
  </si>
  <si>
    <t>Josefstag</t>
  </si>
  <si>
    <t>Pfingsten</t>
  </si>
  <si>
    <t>Pfingstmontag</t>
  </si>
  <si>
    <t>Arbeitstage</t>
  </si>
  <si>
    <t>= Schulferien NW</t>
  </si>
  <si>
    <r>
      <t xml:space="preserve">K = </t>
    </r>
    <r>
      <rPr>
        <sz val="8"/>
        <rFont val="ITCFranklinGothic LT Com Bk"/>
        <family val="2"/>
      </rPr>
      <t>Kompensationstag</t>
    </r>
  </si>
  <si>
    <t>AUGUST</t>
  </si>
  <si>
    <t>SEPTEMBER</t>
  </si>
  <si>
    <t>NOVEMBER</t>
  </si>
  <si>
    <t>Allerheiligen</t>
  </si>
  <si>
    <t>M. H'fahrt</t>
  </si>
  <si>
    <t>Day</t>
  </si>
  <si>
    <t>1/2 Day</t>
  </si>
  <si>
    <t>Holiday</t>
  </si>
  <si>
    <t>N/A</t>
  </si>
  <si>
    <t>Team Leader approval</t>
  </si>
  <si>
    <t>Name:</t>
  </si>
  <si>
    <t>Total Days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</si>
  <si>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</si>
  <si>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</si>
  <si>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</si>
  <si>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</si>
  <si>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</si>
  <si>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</si>
  <si>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</si>
  <si>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</si>
  <si>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</si>
  <si>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</si>
  <si>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</si>
  <si>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</si>
  <si>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</si>
  <si>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</si>
  <si>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</si>
  <si>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MAY</t>
  </si>
  <si>
    <t>JUNE</t>
  </si>
  <si>
    <t>JULY</t>
  </si>
  <si>
    <t>OCTOBER</t>
  </si>
  <si>
    <t>DECEMBER</t>
  </si>
  <si>
    <t>K (Day)</t>
  </si>
  <si>
    <t>National FT</t>
  </si>
  <si>
    <t>Total Working Days</t>
  </si>
  <si>
    <t>Date &amp; Signature Contractor</t>
  </si>
  <si>
    <t>Comments</t>
  </si>
  <si>
    <t>to be invoiced</t>
  </si>
  <si>
    <t xml:space="preserve">- Select from List - </t>
  </si>
  <si>
    <t>EXE</t>
  </si>
  <si>
    <t>Dept:</t>
  </si>
  <si>
    <t xml:space="preserve"> - select - </t>
  </si>
  <si>
    <t>Business Trip</t>
  </si>
  <si>
    <t>Ostern</t>
  </si>
  <si>
    <t>Department / Team Leader Name</t>
  </si>
  <si>
    <t>Department:_______TL/Name__________________</t>
  </si>
  <si>
    <t>Date &amp; Signature Team Leader</t>
  </si>
  <si>
    <t>Number of Days</t>
  </si>
  <si>
    <t>xxx</t>
  </si>
  <si>
    <t>9xxxxx</t>
  </si>
  <si>
    <t>Vorgang</t>
  </si>
  <si>
    <t>xxxx</t>
  </si>
  <si>
    <t>Netzplan/Auftrag</t>
  </si>
  <si>
    <t>Send the signed work report to your company at the month end.</t>
  </si>
  <si>
    <t>Invoices from the consultant company will only be accepted with a signed work report.</t>
  </si>
  <si>
    <t>Date &amp; Signature Consultant</t>
  </si>
  <si>
    <t>*it is mandatory to enter the booking numbers  - please review with the team leader!</t>
  </si>
  <si>
    <t>Summary of Days and associated booking numbers*</t>
  </si>
  <si>
    <t>ETE</t>
  </si>
  <si>
    <t>EZ</t>
  </si>
  <si>
    <t>EZV</t>
  </si>
  <si>
    <t>ISATI GmbH</t>
  </si>
  <si>
    <t>ERS</t>
  </si>
  <si>
    <t>ERM</t>
  </si>
  <si>
    <t>ER</t>
  </si>
  <si>
    <t>EXI</t>
  </si>
  <si>
    <t>ETM</t>
  </si>
  <si>
    <t>EZC</t>
  </si>
  <si>
    <t>ENT</t>
  </si>
  <si>
    <t>ENP</t>
  </si>
  <si>
    <t>Maria Empfängnis</t>
  </si>
  <si>
    <t>Element</t>
  </si>
  <si>
    <t>TCS</t>
  </si>
  <si>
    <t>Project Name</t>
  </si>
  <si>
    <t>ECA</t>
  </si>
  <si>
    <t>EXU</t>
  </si>
  <si>
    <t>EJE</t>
  </si>
  <si>
    <t>EJM</t>
  </si>
  <si>
    <t>Anzen Engineering Switzerland</t>
  </si>
  <si>
    <t>ANAVIA AG</t>
  </si>
  <si>
    <t>Company Closed</t>
  </si>
  <si>
    <t>Consultant work report 2026</t>
  </si>
  <si>
    <t>Himmelfahrt</t>
  </si>
  <si>
    <t>Jorge Benito Sanabrias</t>
  </si>
  <si>
    <t>+2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</si>
</sst>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ddd"/>
    <numFmt numFmtId="166" formatCode="00"/>
  </numFmts>
  <fonts count="34">
    <font>
      <sz val="12"/>
      <name val="Helv"/>
    </font>
    <font>
      <b/>
      <sz val="30"/>
      <name val="ITCFranklinGothic LT Com Bk"/>
      <family val="2"/>
    </font>
    <font>
      <b/>
      <i/>
      <sz val="14"/>
      <name val="ITCFranklinGothic LT Com Bk"/>
      <family val="2"/>
    </font>
    <font>
      <sz val="12"/>
      <name val="ITCFranklinGothic LT Com Bk"/>
      <family val="2"/>
    </font>
    <font>
      <sz val="10"/>
      <name val="ITCFranklinGothic LT Com Bk"/>
      <family val="2"/>
    </font>
    <font>
      <b/>
      <sz val="14"/>
      <name val="ITCFranklinGothic LT Com Bk"/>
      <family val="2"/>
    </font>
    <font>
      <b/>
      <sz val="12"/>
      <name val="ITCFranklinGothic LT Com Bk"/>
      <family val="2"/>
    </font>
    <font>
      <b/>
      <sz val="10"/>
      <name val="ITCFranklinGothic LT Com Bk"/>
      <family val="2"/>
    </font>
    <font>
      <b/>
      <sz val="11"/>
      <name val="ITCFranklinGothic LT Com Bk"/>
      <family val="2"/>
    </font>
    <font>
      <b/>
      <sz val="9"/>
      <name val="ITCFranklinGothic LT Com Bk"/>
      <family val="2"/>
    </font>
    <font>
      <sz val="8"/>
      <name val="ITCFranklinGothic LT Com Bk"/>
      <family val="2"/>
    </font>
    <font>
      <b/>
      <sz val="8"/>
      <name val="ITCFranklinGothic LT Com Bk"/>
      <family val="2"/>
    </font>
    <font>
      <sz val="6"/>
      <name val="ITCFranklinGothic LT Com B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00FF"/>
      <name val="ITCFranklinGothic LT Com Bk"/>
      <family val="2"/>
    </font>
    <font>
      <b/>
      <sz val="12"/>
      <color rgb="FF0000FF"/>
      <name val="ITCFranklinGothic LT Com Bk"/>
      <family val="2"/>
    </font>
    <font>
      <b/>
      <sz val="12"/>
      <name val="Verdana"/>
      <family val="2"/>
    </font>
    <font>
      <sz val="12"/>
      <name val="Verdana"/>
      <family val="2"/>
    </font>
    <font>
      <sz val="26"/>
      <name val="ITCFranklinGothic LT Com Bk"/>
      <family val="2"/>
    </font>
    <font>
      <u/>
      <sz val="12"/>
      <name val="Verdana"/>
      <family val="2"/>
    </font>
    <font>
      <u/>
      <sz val="11"/>
      <name val="Verdana"/>
      <family val="2"/>
    </font>
    <font>
      <b/>
      <sz val="14"/>
      <name val="Verdana"/>
      <family val="2"/>
    </font>
    <font>
      <sz val="14"/>
      <name val="Verdana"/>
      <family val="2"/>
    </font>
    <font>
      <b/>
      <u/>
      <sz val="14"/>
      <name val="Verdana"/>
      <family val="2"/>
    </font>
    <font>
      <b/>
      <sz val="11"/>
      <name val="Verdana"/>
      <family val="2"/>
    </font>
    <font>
      <b/>
      <sz val="20"/>
      <name val="ITCFranklinGothic LT Com Bk"/>
      <family val="2"/>
    </font>
    <font>
      <b/>
      <sz val="16"/>
      <name val="ITCFranklinGothic LT Com Bk"/>
      <family val="2"/>
    </font>
    <font>
      <sz val="11"/>
      <name val="Helv"/>
    </font>
    <font>
      <b/>
      <sz val="9"/>
      <color rgb="FF0000FF"/>
      <name val="ITCFranklinGothic LT Com Bk"/>
      <family val="2"/>
    </font>
    <font>
      <b/>
      <u/>
      <sz val="12"/>
      <name val="Verdana"/>
      <family val="2"/>
    </font>
    <font>
      <sz val="10"/>
      <name val="Verdana"/>
      <family val="2"/>
    </font>
    <font>
      <sz val="9"/>
      <name val="Verdana"/>
      <family val="2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darkUp"/>
    </fill>
  </fills>
  <borders count="4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10" xfId="0" applyFont="1" applyBorder="1"/>
    <xf numFmtId="164" fontId="4" fillId="0" borderId="0" xfId="0" applyNumberFormat="1" applyFont="1" applyAlignment="1">
      <alignment horizontal="left"/>
    </xf>
    <xf numFmtId="0" fontId="7" fillId="0" borderId="0" xfId="0" applyFont="1"/>
    <xf numFmtId="164" fontId="4" fillId="0" borderId="0" xfId="0" applyNumberFormat="1" applyFont="1"/>
    <xf numFmtId="0" fontId="10" fillId="0" borderId="0" xfId="0" quotePrefix="1" applyFont="1"/>
    <xf numFmtId="0" fontId="4" fillId="3" borderId="13" xfId="0" applyFont="1" applyFill="1" applyBorder="1" applyAlignment="1">
      <alignment horizontal="right"/>
    </xf>
    <xf numFmtId="164" fontId="10" fillId="0" borderId="0" xfId="0" applyNumberFormat="1" applyFont="1" applyAlignment="1">
      <alignment horizontal="left"/>
    </xf>
    <xf numFmtId="0" fontId="11" fillId="0" borderId="0" xfId="0" quotePrefix="1" applyFont="1" applyAlignment="1">
      <alignment horizontal="left"/>
    </xf>
    <xf numFmtId="164" fontId="4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centerContinuous"/>
    </xf>
    <xf numFmtId="0" fontId="3" fillId="0" borderId="12" xfId="0" applyFont="1" applyBorder="1"/>
    <xf numFmtId="0" fontId="4" fillId="0" borderId="1" xfId="0" applyFont="1" applyBorder="1" applyAlignment="1">
      <alignment horizontal="left"/>
    </xf>
    <xf numFmtId="0" fontId="7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3" fillId="0" borderId="1" xfId="0" applyFont="1" applyBorder="1"/>
    <xf numFmtId="0" fontId="10" fillId="0" borderId="1" xfId="0" applyFont="1" applyBorder="1"/>
    <xf numFmtId="164" fontId="10" fillId="0" borderId="1" xfId="0" quotePrefix="1" applyNumberFormat="1" applyFont="1" applyBorder="1" applyAlignment="1">
      <alignment horizontal="left"/>
    </xf>
    <xf numFmtId="0" fontId="4" fillId="0" borderId="11" xfId="0" applyFont="1" applyBorder="1" applyAlignment="1">
      <alignment horizontal="right"/>
    </xf>
    <xf numFmtId="164" fontId="5" fillId="0" borderId="2" xfId="0" applyNumberFormat="1" applyFont="1" applyBorder="1" applyAlignment="1">
      <alignment horizontal="left"/>
    </xf>
    <xf numFmtId="0" fontId="6" fillId="0" borderId="3" xfId="0" applyFont="1" applyBorder="1"/>
    <xf numFmtId="0" fontId="8" fillId="0" borderId="3" xfId="0" applyFont="1" applyBorder="1"/>
    <xf numFmtId="0" fontId="7" fillId="0" borderId="4" xfId="0" applyFont="1" applyBorder="1" applyAlignment="1">
      <alignment horizontal="right"/>
    </xf>
    <xf numFmtId="164" fontId="5" fillId="0" borderId="3" xfId="0" applyNumberFormat="1" applyFont="1" applyBorder="1" applyAlignment="1">
      <alignment horizontal="left"/>
    </xf>
    <xf numFmtId="0" fontId="5" fillId="0" borderId="3" xfId="0" applyFont="1" applyBorder="1"/>
    <xf numFmtId="0" fontId="7" fillId="0" borderId="3" xfId="0" applyFont="1" applyBorder="1"/>
    <xf numFmtId="0" fontId="7" fillId="0" borderId="4" xfId="0" applyFont="1" applyBorder="1"/>
    <xf numFmtId="164" fontId="8" fillId="0" borderId="0" xfId="0" applyNumberFormat="1" applyFont="1"/>
    <xf numFmtId="0" fontId="4" fillId="4" borderId="13" xfId="0" applyFont="1" applyFill="1" applyBorder="1" applyAlignment="1">
      <alignment horizontal="right"/>
    </xf>
    <xf numFmtId="164" fontId="10" fillId="0" borderId="0" xfId="0" applyNumberFormat="1" applyFont="1"/>
    <xf numFmtId="164" fontId="12" fillId="0" borderId="1" xfId="0" quotePrefix="1" applyNumberFormat="1" applyFont="1" applyBorder="1" applyAlignment="1">
      <alignment horizontal="left"/>
    </xf>
    <xf numFmtId="165" fontId="8" fillId="3" borderId="5" xfId="0" applyNumberFormat="1" applyFont="1" applyFill="1" applyBorder="1" applyAlignment="1" applyProtection="1">
      <alignment horizontal="left" vertical="center"/>
      <protection locked="0" hidden="1"/>
    </xf>
    <xf numFmtId="166" fontId="4" fillId="3" borderId="7" xfId="0" applyNumberFormat="1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165" fontId="8" fillId="3" borderId="5" xfId="0" applyNumberFormat="1" applyFont="1" applyFill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15" fillId="0" borderId="15" xfId="0" applyFont="1" applyBorder="1" applyAlignment="1">
      <alignment vertical="center"/>
    </xf>
    <xf numFmtId="0" fontId="1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6" fillId="3" borderId="18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18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3" borderId="20" xfId="0" applyFont="1" applyFill="1" applyBorder="1"/>
    <xf numFmtId="0" fontId="18" fillId="3" borderId="20" xfId="0" applyFont="1" applyFill="1" applyBorder="1" applyAlignment="1">
      <alignment horizontal="center"/>
    </xf>
    <xf numFmtId="0" fontId="17" fillId="3" borderId="20" xfId="0" applyFont="1" applyFill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18" fillId="0" borderId="8" xfId="0" applyFont="1" applyBorder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horizontal="center"/>
    </xf>
    <xf numFmtId="0" fontId="23" fillId="0" borderId="0" xfId="0" applyFont="1"/>
    <xf numFmtId="0" fontId="22" fillId="0" borderId="0" xfId="0" applyFont="1" applyAlignment="1">
      <alignment horizontal="center"/>
    </xf>
    <xf numFmtId="0" fontId="24" fillId="0" borderId="0" xfId="0" applyFont="1"/>
    <xf numFmtId="0" fontId="23" fillId="0" borderId="0" xfId="0" applyFont="1" applyAlignment="1">
      <alignment horizontal="left"/>
    </xf>
    <xf numFmtId="0" fontId="17" fillId="3" borderId="15" xfId="0" applyFont="1" applyFill="1" applyBorder="1"/>
    <xf numFmtId="0" fontId="17" fillId="3" borderId="16" xfId="0" applyFont="1" applyFill="1" applyBorder="1"/>
    <xf numFmtId="0" fontId="17" fillId="3" borderId="20" xfId="0" applyFont="1" applyFill="1" applyBorder="1"/>
    <xf numFmtId="0" fontId="17" fillId="3" borderId="16" xfId="0" applyFont="1" applyFill="1" applyBorder="1" applyAlignment="1">
      <alignment horizontal="center"/>
    </xf>
    <xf numFmtId="0" fontId="4" fillId="0" borderId="21" xfId="0" applyFont="1" applyBorder="1" applyAlignment="1">
      <alignment horizontal="right"/>
    </xf>
    <xf numFmtId="0" fontId="25" fillId="3" borderId="15" xfId="0" applyFont="1" applyFill="1" applyBorder="1"/>
    <xf numFmtId="0" fontId="0" fillId="0" borderId="22" xfId="0" applyBorder="1"/>
    <xf numFmtId="0" fontId="3" fillId="0" borderId="0" xfId="0" quotePrefix="1" applyFont="1" applyAlignment="1">
      <alignment vertical="center"/>
    </xf>
    <xf numFmtId="0" fontId="28" fillId="0" borderId="0" xfId="0" quotePrefix="1" applyFont="1" applyAlignment="1">
      <alignment horizontal="left"/>
    </xf>
    <xf numFmtId="0" fontId="2" fillId="0" borderId="0" xfId="0" quotePrefix="1" applyFont="1" applyAlignment="1">
      <alignment vertical="center"/>
    </xf>
    <xf numFmtId="0" fontId="7" fillId="0" borderId="11" xfId="0" applyFont="1" applyBorder="1" applyAlignment="1">
      <alignment horizontal="right"/>
    </xf>
    <xf numFmtId="164" fontId="5" fillId="0" borderId="1" xfId="0" applyNumberFormat="1" applyFont="1" applyBorder="1" applyAlignment="1">
      <alignment horizontal="left"/>
    </xf>
    <xf numFmtId="0" fontId="5" fillId="0" borderId="1" xfId="0" applyFont="1" applyBorder="1"/>
    <xf numFmtId="164" fontId="5" fillId="0" borderId="23" xfId="0" applyNumberFormat="1" applyFont="1" applyBorder="1" applyAlignment="1" applyProtection="1">
      <alignment vertical="center"/>
      <protection locked="0"/>
    </xf>
    <xf numFmtId="0" fontId="27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11" xfId="0" applyFont="1" applyBorder="1"/>
    <xf numFmtId="164" fontId="26" fillId="0" borderId="0" xfId="0" applyNumberFormat="1" applyFont="1" applyAlignment="1" applyProtection="1">
      <alignment vertical="center"/>
      <protection locked="0"/>
    </xf>
    <xf numFmtId="164" fontId="1" fillId="0" borderId="0" xfId="0" applyNumberFormat="1" applyFont="1" applyAlignment="1" applyProtection="1">
      <alignment vertical="center"/>
      <protection locked="0"/>
    </xf>
    <xf numFmtId="164" fontId="5" fillId="2" borderId="12" xfId="0" applyNumberFormat="1" applyFont="1" applyFill="1" applyBorder="1" applyAlignment="1">
      <alignment horizontal="left"/>
    </xf>
    <xf numFmtId="0" fontId="6" fillId="0" borderId="1" xfId="0" applyFont="1" applyBorder="1"/>
    <xf numFmtId="0" fontId="4" fillId="0" borderId="26" xfId="0" applyFont="1" applyBorder="1" applyAlignment="1">
      <alignment vertical="center"/>
    </xf>
    <xf numFmtId="165" fontId="8" fillId="5" borderId="5" xfId="0" applyNumberFormat="1" applyFont="1" applyFill="1" applyBorder="1" applyAlignment="1" applyProtection="1">
      <alignment horizontal="left" vertical="center"/>
      <protection locked="0" hidden="1"/>
    </xf>
    <xf numFmtId="165" fontId="8" fillId="3" borderId="6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/>
    </xf>
    <xf numFmtId="164" fontId="10" fillId="0" borderId="15" xfId="0" applyNumberFormat="1" applyFont="1" applyBorder="1" applyAlignment="1">
      <alignment horizontal="center" vertical="center"/>
    </xf>
    <xf numFmtId="164" fontId="10" fillId="0" borderId="20" xfId="0" applyNumberFormat="1" applyFont="1" applyBorder="1" applyAlignment="1">
      <alignment horizontal="left" vertical="center"/>
    </xf>
    <xf numFmtId="0" fontId="11" fillId="0" borderId="20" xfId="0" applyFont="1" applyBorder="1" applyAlignment="1">
      <alignment vertical="center"/>
    </xf>
    <xf numFmtId="0" fontId="10" fillId="0" borderId="16" xfId="0" applyFont="1" applyBorder="1" applyAlignment="1">
      <alignment horizontal="right" vertical="center"/>
    </xf>
    <xf numFmtId="0" fontId="10" fillId="0" borderId="27" xfId="0" applyFont="1" applyBorder="1" applyAlignment="1">
      <alignment horizontal="right" vertical="center"/>
    </xf>
    <xf numFmtId="164" fontId="10" fillId="0" borderId="20" xfId="0" applyNumberFormat="1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10" fillId="0" borderId="20" xfId="0" applyFont="1" applyBorder="1" applyAlignment="1">
      <alignment horizontal="right" vertical="center"/>
    </xf>
    <xf numFmtId="0" fontId="3" fillId="0" borderId="10" xfId="0" applyFont="1" applyBorder="1"/>
    <xf numFmtId="164" fontId="10" fillId="0" borderId="15" xfId="0" applyNumberFormat="1" applyFont="1" applyBorder="1" applyAlignment="1">
      <alignment vertical="center"/>
    </xf>
    <xf numFmtId="165" fontId="18" fillId="0" borderId="0" xfId="0" applyNumberFormat="1" applyFont="1"/>
    <xf numFmtId="0" fontId="20" fillId="0" borderId="0" xfId="0" applyFont="1" applyAlignment="1">
      <alignment horizontal="center"/>
    </xf>
    <xf numFmtId="164" fontId="8" fillId="3" borderId="6" xfId="0" applyNumberFormat="1" applyFont="1" applyFill="1" applyBorder="1" applyAlignment="1">
      <alignment horizontal="left" vertical="center"/>
    </xf>
    <xf numFmtId="0" fontId="18" fillId="0" borderId="8" xfId="0" applyFont="1" applyBorder="1" applyAlignment="1">
      <alignment horizontal="center"/>
    </xf>
    <xf numFmtId="0" fontId="30" fillId="0" borderId="28" xfId="0" applyFont="1" applyBorder="1"/>
    <xf numFmtId="0" fontId="18" fillId="0" borderId="29" xfId="0" applyFont="1" applyBorder="1" applyAlignment="1">
      <alignment horizontal="center"/>
    </xf>
    <xf numFmtId="0" fontId="18" fillId="0" borderId="29" xfId="0" applyFont="1" applyBorder="1"/>
    <xf numFmtId="0" fontId="17" fillId="0" borderId="29" xfId="0" applyFont="1" applyBorder="1" applyAlignment="1">
      <alignment horizontal="center"/>
    </xf>
    <xf numFmtId="0" fontId="18" fillId="0" borderId="30" xfId="0" applyFont="1" applyBorder="1"/>
    <xf numFmtId="0" fontId="18" fillId="0" borderId="31" xfId="0" applyFont="1" applyBorder="1"/>
    <xf numFmtId="0" fontId="18" fillId="0" borderId="32" xfId="0" applyFont="1" applyBorder="1"/>
    <xf numFmtId="0" fontId="20" fillId="0" borderId="31" xfId="0" applyFont="1" applyBorder="1"/>
    <xf numFmtId="0" fontId="17" fillId="0" borderId="8" xfId="0" applyFont="1" applyBorder="1" applyAlignment="1">
      <alignment horizontal="center"/>
    </xf>
    <xf numFmtId="0" fontId="18" fillId="0" borderId="34" xfId="0" applyFont="1" applyBorder="1"/>
    <xf numFmtId="0" fontId="31" fillId="0" borderId="33" xfId="0" applyFont="1" applyBorder="1"/>
    <xf numFmtId="0" fontId="31" fillId="0" borderId="31" xfId="0" applyFont="1" applyBorder="1"/>
    <xf numFmtId="0" fontId="32" fillId="0" borderId="31" xfId="0" applyFont="1" applyBorder="1"/>
    <xf numFmtId="0" fontId="30" fillId="0" borderId="31" xfId="0" applyFont="1" applyBorder="1"/>
    <xf numFmtId="2" fontId="29" fillId="5" borderId="6" xfId="0" quotePrefix="1" applyNumberFormat="1" applyFont="1" applyFill="1" applyBorder="1" applyAlignment="1">
      <alignment horizontal="center" vertical="center"/>
    </xf>
    <xf numFmtId="164" fontId="8" fillId="5" borderId="6" xfId="0" applyNumberFormat="1" applyFont="1" applyFill="1" applyBorder="1" applyAlignment="1">
      <alignment horizontal="left" vertical="center"/>
    </xf>
    <xf numFmtId="164" fontId="8" fillId="3" borderId="8" xfId="0" applyNumberFormat="1" applyFont="1" applyFill="1" applyBorder="1" applyAlignment="1">
      <alignment horizontal="left" vertical="center"/>
    </xf>
    <xf numFmtId="0" fontId="33" fillId="0" borderId="0" xfId="0" applyFont="1" applyAlignment="1">
      <alignment horizontal="left"/>
    </xf>
    <xf numFmtId="0" fontId="33" fillId="0" borderId="0" xfId="0" applyFont="1" applyAlignment="1">
      <alignment vertical="center"/>
    </xf>
    <xf numFmtId="2" fontId="18" fillId="0" borderId="0" xfId="0" applyNumberFormat="1" applyFont="1"/>
    <xf numFmtId="1" fontId="4" fillId="3" borderId="7" xfId="0" applyNumberFormat="1" applyFont="1" applyFill="1" applyBorder="1" applyAlignment="1">
      <alignment horizontal="right" vertical="center"/>
    </xf>
    <xf numFmtId="1" fontId="4" fillId="3" borderId="7" xfId="0" applyNumberFormat="1" applyFont="1" applyFill="1" applyBorder="1" applyAlignment="1">
      <alignment vertical="center"/>
    </xf>
    <xf numFmtId="0" fontId="22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20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0" fillId="0" borderId="32" xfId="0" applyFont="1" applyBorder="1"/>
    <xf numFmtId="2" fontId="29" fillId="3" borderId="6" xfId="0" quotePrefix="1" applyNumberFormat="1" applyFont="1" applyFill="1" applyBorder="1" applyAlignment="1">
      <alignment horizontal="center" vertical="center"/>
    </xf>
    <xf numFmtId="165" fontId="8" fillId="0" borderId="5" xfId="0" applyNumberFormat="1" applyFont="1" applyBorder="1" applyAlignment="1" applyProtection="1">
      <alignment horizontal="left" vertical="center"/>
      <protection locked="0" hidden="1"/>
    </xf>
    <xf numFmtId="164" fontId="8" fillId="0" borderId="6" xfId="0" applyNumberFormat="1" applyFont="1" applyBorder="1" applyAlignment="1">
      <alignment horizontal="left" vertical="center"/>
    </xf>
    <xf numFmtId="166" fontId="4" fillId="0" borderId="7" xfId="0" applyNumberFormat="1" applyFont="1" applyBorder="1" applyAlignment="1">
      <alignment horizontal="right" vertical="center"/>
    </xf>
    <xf numFmtId="2" fontId="29" fillId="0" borderId="6" xfId="0" quotePrefix="1" applyNumberFormat="1" applyFont="1" applyBorder="1" applyAlignment="1">
      <alignment horizontal="center" vertical="center"/>
    </xf>
    <xf numFmtId="0" fontId="29" fillId="0" borderId="6" xfId="0" quotePrefix="1" applyFont="1" applyBorder="1" applyAlignment="1">
      <alignment horizontal="center" vertical="center"/>
    </xf>
    <xf numFmtId="0" fontId="8" fillId="3" borderId="6" xfId="0" applyFont="1" applyFill="1" applyBorder="1" applyAlignment="1">
      <alignment horizontal="left"/>
    </xf>
    <xf numFmtId="0" fontId="29" fillId="3" borderId="6" xfId="0" quotePrefix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right" vertical="center"/>
    </xf>
    <xf numFmtId="1" fontId="8" fillId="3" borderId="6" xfId="0" applyNumberFormat="1" applyFont="1" applyFill="1" applyBorder="1" applyAlignment="1">
      <alignment horizontal="left" vertical="center"/>
    </xf>
    <xf numFmtId="166" fontId="4" fillId="5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 applyProtection="1">
      <alignment horizontal="left" vertical="center"/>
      <protection locked="0" hidden="1"/>
    </xf>
    <xf numFmtId="166" fontId="4" fillId="3" borderId="6" xfId="0" applyNumberFormat="1" applyFont="1" applyFill="1" applyBorder="1" applyAlignment="1">
      <alignment horizontal="right" vertical="center"/>
    </xf>
    <xf numFmtId="166" fontId="4" fillId="0" borderId="6" xfId="0" applyNumberFormat="1" applyFont="1" applyBorder="1" applyAlignment="1">
      <alignment horizontal="right" vertical="center"/>
    </xf>
    <xf numFmtId="165" fontId="8" fillId="0" borderId="6" xfId="0" applyNumberFormat="1" applyFont="1" applyBorder="1" applyAlignment="1" applyProtection="1">
      <alignment horizontal="left" vertical="center"/>
      <protection locked="0" hidden="1"/>
    </xf>
    <xf numFmtId="164" fontId="5" fillId="0" borderId="0" xfId="0" applyNumberFormat="1" applyFont="1" applyAlignment="1">
      <alignment horizontal="left"/>
    </xf>
    <xf numFmtId="0" fontId="5" fillId="0" borderId="0" xfId="0" applyFont="1"/>
    <xf numFmtId="0" fontId="7" fillId="0" borderId="14" xfId="0" applyFont="1" applyBorder="1" applyAlignment="1">
      <alignment horizontal="right"/>
    </xf>
    <xf numFmtId="165" fontId="8" fillId="3" borderId="35" xfId="0" applyNumberFormat="1" applyFont="1" applyFill="1" applyBorder="1" applyAlignment="1" applyProtection="1">
      <alignment horizontal="left" vertical="center"/>
      <protection locked="0" hidden="1"/>
    </xf>
    <xf numFmtId="164" fontId="8" fillId="3" borderId="36" xfId="0" applyNumberFormat="1" applyFont="1" applyFill="1" applyBorder="1" applyAlignment="1">
      <alignment horizontal="left" vertical="center"/>
    </xf>
    <xf numFmtId="2" fontId="29" fillId="3" borderId="36" xfId="0" quotePrefix="1" applyNumberFormat="1" applyFont="1" applyFill="1" applyBorder="1" applyAlignment="1">
      <alignment horizontal="center" vertical="center"/>
    </xf>
    <xf numFmtId="166" fontId="4" fillId="3" borderId="37" xfId="0" applyNumberFormat="1" applyFont="1" applyFill="1" applyBorder="1" applyAlignment="1">
      <alignment horizontal="right" vertical="center"/>
    </xf>
    <xf numFmtId="165" fontId="8" fillId="3" borderId="38" xfId="0" applyNumberFormat="1" applyFont="1" applyFill="1" applyBorder="1" applyAlignment="1" applyProtection="1">
      <alignment horizontal="left" vertical="center"/>
      <protection locked="0" hidden="1"/>
    </xf>
    <xf numFmtId="166" fontId="4" fillId="3" borderId="39" xfId="0" applyNumberFormat="1" applyFont="1" applyFill="1" applyBorder="1" applyAlignment="1">
      <alignment horizontal="right" vertical="center"/>
    </xf>
    <xf numFmtId="165" fontId="8" fillId="7" borderId="40" xfId="0" applyNumberFormat="1" applyFont="1" applyFill="1" applyBorder="1" applyAlignment="1" applyProtection="1">
      <alignment horizontal="left" vertical="center"/>
      <protection locked="0" hidden="1"/>
    </xf>
    <xf numFmtId="164" fontId="8" fillId="7" borderId="0" xfId="0" applyNumberFormat="1" applyFont="1" applyFill="1" applyAlignment="1">
      <alignment horizontal="left" vertical="center"/>
    </xf>
    <xf numFmtId="2" fontId="29" fillId="7" borderId="0" xfId="0" quotePrefix="1" applyNumberFormat="1" applyFont="1" applyFill="1" applyAlignment="1">
      <alignment horizontal="center" vertical="center"/>
    </xf>
    <xf numFmtId="166" fontId="4" fillId="7" borderId="41" xfId="0" applyNumberFormat="1" applyFont="1" applyFill="1" applyBorder="1" applyAlignment="1">
      <alignment horizontal="right" vertical="center"/>
    </xf>
    <xf numFmtId="166" fontId="3" fillId="7" borderId="40" xfId="0" applyNumberFormat="1" applyFont="1" applyFill="1" applyBorder="1" applyAlignment="1">
      <alignment vertical="center"/>
    </xf>
    <xf numFmtId="166" fontId="3" fillId="7" borderId="0" xfId="0" applyNumberFormat="1" applyFont="1" applyFill="1" applyAlignment="1">
      <alignment vertical="center"/>
    </xf>
    <xf numFmtId="166" fontId="7" fillId="7" borderId="0" xfId="0" applyNumberFormat="1" applyFont="1" applyFill="1" applyAlignment="1">
      <alignment vertical="center"/>
    </xf>
    <xf numFmtId="166" fontId="3" fillId="7" borderId="42" xfId="0" applyNumberFormat="1" applyFont="1" applyFill="1" applyBorder="1" applyAlignment="1">
      <alignment vertical="center"/>
    </xf>
    <xf numFmtId="166" fontId="3" fillId="7" borderId="43" xfId="0" applyNumberFormat="1" applyFont="1" applyFill="1" applyBorder="1" applyAlignment="1">
      <alignment vertical="center"/>
    </xf>
    <xf numFmtId="166" fontId="7" fillId="7" borderId="43" xfId="0" applyNumberFormat="1" applyFont="1" applyFill="1" applyBorder="1" applyAlignment="1">
      <alignment vertical="center"/>
    </xf>
    <xf numFmtId="166" fontId="4" fillId="7" borderId="44" xfId="0" applyNumberFormat="1" applyFont="1" applyFill="1" applyBorder="1" applyAlignment="1">
      <alignment horizontal="right" vertical="center"/>
    </xf>
    <xf numFmtId="165" fontId="8" fillId="7" borderId="5" xfId="0" applyNumberFormat="1" applyFont="1" applyFill="1" applyBorder="1" applyAlignment="1" applyProtection="1">
      <alignment horizontal="left" vertical="center"/>
      <protection locked="0" hidden="1"/>
    </xf>
    <xf numFmtId="164" fontId="8" fillId="7" borderId="6" xfId="0" applyNumberFormat="1" applyFont="1" applyFill="1" applyBorder="1" applyAlignment="1">
      <alignment horizontal="left" vertical="center"/>
    </xf>
    <xf numFmtId="2" fontId="9" fillId="7" borderId="6" xfId="0" quotePrefix="1" applyNumberFormat="1" applyFont="1" applyFill="1" applyBorder="1" applyAlignment="1">
      <alignment horizontal="center" vertical="center"/>
    </xf>
    <xf numFmtId="166" fontId="4" fillId="7" borderId="7" xfId="0" applyNumberFormat="1" applyFont="1" applyFill="1" applyBorder="1" applyAlignment="1">
      <alignment horizontal="right" vertical="center"/>
    </xf>
    <xf numFmtId="166" fontId="4" fillId="7" borderId="14" xfId="0" applyNumberFormat="1" applyFont="1" applyFill="1" applyBorder="1" applyAlignment="1">
      <alignment horizontal="right" vertical="center"/>
    </xf>
    <xf numFmtId="1" fontId="4" fillId="3" borderId="9" xfId="0" applyNumberFormat="1" applyFont="1" applyFill="1" applyBorder="1" applyAlignment="1">
      <alignment horizontal="right" vertical="center"/>
    </xf>
    <xf numFmtId="166" fontId="4" fillId="3" borderId="9" xfId="0" applyNumberFormat="1" applyFont="1" applyFill="1" applyBorder="1" applyAlignment="1">
      <alignment horizontal="right" vertical="center"/>
    </xf>
    <xf numFmtId="165" fontId="8" fillId="3" borderId="10" xfId="0" applyNumberFormat="1" applyFont="1" applyFill="1" applyBorder="1" applyAlignment="1" applyProtection="1">
      <alignment horizontal="left" vertical="center"/>
      <protection locked="0" hidden="1"/>
    </xf>
    <xf numFmtId="164" fontId="8" fillId="3" borderId="0" xfId="0" applyNumberFormat="1" applyFont="1" applyFill="1" applyAlignment="1">
      <alignment horizontal="left" vertical="center"/>
    </xf>
    <xf numFmtId="166" fontId="4" fillId="3" borderId="14" xfId="0" applyNumberFormat="1" applyFont="1" applyFill="1" applyBorder="1" applyAlignment="1">
      <alignment horizontal="right" vertical="center"/>
    </xf>
    <xf numFmtId="164" fontId="8" fillId="7" borderId="0" xfId="0" applyNumberFormat="1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9" fillId="7" borderId="0" xfId="0" applyFont="1" applyFill="1" applyAlignment="1">
      <alignment vertical="center"/>
    </xf>
    <xf numFmtId="0" fontId="4" fillId="7" borderId="14" xfId="0" applyFont="1" applyFill="1" applyBorder="1" applyAlignment="1">
      <alignment horizontal="right" vertical="center"/>
    </xf>
    <xf numFmtId="0" fontId="3" fillId="7" borderId="0" xfId="0" applyFont="1" applyFill="1" applyAlignment="1">
      <alignment vertical="center"/>
    </xf>
    <xf numFmtId="0" fontId="3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vertical="center"/>
    </xf>
    <xf numFmtId="164" fontId="10" fillId="0" borderId="20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4" fillId="0" borderId="16" xfId="0" applyFont="1" applyBorder="1" applyAlignment="1">
      <alignment horizontal="right" vertical="center"/>
    </xf>
    <xf numFmtId="1" fontId="4" fillId="3" borderId="9" xfId="0" applyNumberFormat="1" applyFont="1" applyFill="1" applyBorder="1" applyAlignment="1">
      <alignment vertical="center"/>
    </xf>
    <xf numFmtId="165" fontId="8" fillId="0" borderId="38" xfId="0" applyNumberFormat="1" applyFont="1" applyBorder="1" applyAlignment="1" applyProtection="1">
      <alignment horizontal="left" vertical="center"/>
      <protection locked="0" hidden="1"/>
    </xf>
    <xf numFmtId="166" fontId="4" fillId="0" borderId="39" xfId="0" applyNumberFormat="1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165" fontId="8" fillId="0" borderId="6" xfId="0" applyNumberFormat="1" applyFont="1" applyBorder="1" applyAlignment="1">
      <alignment horizontal="left" vertical="center"/>
    </xf>
    <xf numFmtId="1" fontId="4" fillId="0" borderId="7" xfId="0" applyNumberFormat="1" applyFont="1" applyBorder="1" applyAlignment="1">
      <alignment vertical="center"/>
    </xf>
    <xf numFmtId="166" fontId="4" fillId="0" borderId="9" xfId="0" applyNumberFormat="1" applyFont="1" applyBorder="1" applyAlignment="1">
      <alignment horizontal="right" vertical="center"/>
    </xf>
    <xf numFmtId="1" fontId="4" fillId="0" borderId="9" xfId="0" applyNumberFormat="1" applyFont="1" applyBorder="1" applyAlignment="1">
      <alignment vertical="center"/>
    </xf>
    <xf numFmtId="1" fontId="4" fillId="0" borderId="9" xfId="0" applyNumberFormat="1" applyFont="1" applyBorder="1" applyAlignment="1">
      <alignment horizontal="right" vertical="center"/>
    </xf>
    <xf numFmtId="164" fontId="8" fillId="0" borderId="8" xfId="0" applyNumberFormat="1" applyFont="1" applyBorder="1" applyAlignment="1">
      <alignment horizontal="left" vertical="center"/>
    </xf>
    <xf numFmtId="165" fontId="8" fillId="0" borderId="10" xfId="0" applyNumberFormat="1" applyFont="1" applyBorder="1" applyAlignment="1" applyProtection="1">
      <alignment horizontal="left" vertical="center"/>
      <protection locked="0" hidden="1"/>
    </xf>
    <xf numFmtId="164" fontId="8" fillId="0" borderId="0" xfId="0" applyNumberFormat="1" applyFont="1" applyAlignment="1">
      <alignment horizontal="left" vertical="center"/>
    </xf>
    <xf numFmtId="2" fontId="29" fillId="0" borderId="0" xfId="0" quotePrefix="1" applyNumberFormat="1" applyFont="1" applyAlignment="1">
      <alignment horizontal="center" vertical="center"/>
    </xf>
    <xf numFmtId="166" fontId="4" fillId="0" borderId="14" xfId="0" applyNumberFormat="1" applyFont="1" applyBorder="1" applyAlignment="1">
      <alignment horizontal="right" vertical="center"/>
    </xf>
    <xf numFmtId="0" fontId="29" fillId="0" borderId="0" xfId="0" quotePrefix="1" applyFont="1" applyAlignment="1">
      <alignment horizontal="center" vertical="center"/>
    </xf>
    <xf numFmtId="165" fontId="8" fillId="0" borderId="0" xfId="0" applyNumberFormat="1" applyFont="1" applyAlignment="1">
      <alignment horizontal="left" vertical="center"/>
    </xf>
    <xf numFmtId="1" fontId="4" fillId="0" borderId="14" xfId="0" applyNumberFormat="1" applyFont="1" applyBorder="1" applyAlignment="1">
      <alignment vertical="center"/>
    </xf>
    <xf numFmtId="2" fontId="29" fillId="3" borderId="0" xfId="0" quotePrefix="1" applyNumberFormat="1" applyFont="1" applyFill="1" applyAlignment="1">
      <alignment horizontal="center" vertical="center"/>
    </xf>
    <xf numFmtId="164" fontId="5" fillId="0" borderId="24" xfId="0" applyNumberFormat="1" applyFont="1" applyBorder="1" applyAlignment="1" applyProtection="1">
      <alignment horizontal="left" vertical="center"/>
      <protection locked="0"/>
    </xf>
    <xf numFmtId="164" fontId="5" fillId="0" borderId="25" xfId="0" applyNumberFormat="1" applyFont="1" applyBorder="1" applyAlignment="1" applyProtection="1">
      <alignment horizontal="left" vertical="center"/>
      <protection locked="0"/>
    </xf>
    <xf numFmtId="164" fontId="27" fillId="0" borderId="23" xfId="0" applyNumberFormat="1" applyFont="1" applyBorder="1" applyAlignment="1">
      <alignment horizontal="left" vertical="center"/>
    </xf>
    <xf numFmtId="164" fontId="27" fillId="0" borderId="24" xfId="0" applyNumberFormat="1" applyFont="1" applyBorder="1" applyAlignment="1">
      <alignment horizontal="left" vertical="center"/>
    </xf>
    <xf numFmtId="164" fontId="5" fillId="0" borderId="23" xfId="0" quotePrefix="1" applyNumberFormat="1" applyFont="1" applyBorder="1" applyAlignment="1">
      <alignment horizontal="left" vertical="center"/>
    </xf>
    <xf numFmtId="164" fontId="5" fillId="0" borderId="24" xfId="0" applyNumberFormat="1" applyFont="1" applyBorder="1" applyAlignment="1">
      <alignment horizontal="left" vertical="center"/>
    </xf>
    <xf numFmtId="164" fontId="5" fillId="0" borderId="24" xfId="0" quotePrefix="1" applyNumberFormat="1" applyFont="1" applyBorder="1" applyAlignment="1" applyProtection="1">
      <alignment horizontal="left" vertical="center"/>
      <protection locked="0"/>
    </xf>
    <xf numFmtId="0" fontId="18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161925</xdr:colOff>
      <xdr:row>2</xdr:row>
      <xdr:rowOff>76200</xdr:rowOff>
    </xdr:from>
    <xdr:to>
      <xdr:col>60</xdr:col>
      <xdr:colOff>666751</xdr:colOff>
      <xdr:row>58</xdr:row>
      <xdr:rowOff>114301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1610975" y="857250"/>
          <a:ext cx="5238751" cy="106584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 baseline="0"/>
            <a:t>Daily dropdown selection:</a:t>
          </a:r>
        </a:p>
        <a:p>
          <a:endParaRPr lang="de-CH" sz="1100" b="1" baseline="0"/>
        </a:p>
        <a:p>
          <a:endParaRPr lang="de-CH" sz="1100" b="1" baseline="0"/>
        </a:p>
        <a:p>
          <a:endParaRPr lang="de-CH" sz="1100" b="1" baseline="0"/>
        </a:p>
        <a:p>
          <a:r>
            <a:rPr lang="de-CH" sz="1100" b="1" baseline="0"/>
            <a:t> </a:t>
          </a:r>
        </a:p>
        <a:p>
          <a:endParaRPr lang="de-CH" sz="1100" b="1" baseline="0"/>
        </a:p>
        <a:p>
          <a:endParaRPr lang="de-CH" sz="1100" b="1" baseline="0"/>
        </a:p>
        <a:p>
          <a:endParaRPr lang="de-CH" sz="1100" b="1" baseline="0"/>
        </a:p>
        <a:p>
          <a:endParaRPr lang="de-CH" sz="1100" b="1" baseline="0"/>
        </a:p>
        <a:p>
          <a:endParaRPr lang="de-CH" sz="1100" b="1" baseline="0"/>
        </a:p>
        <a:p>
          <a:endParaRPr lang="de-CH" sz="1100" b="1" baseline="0"/>
        </a:p>
        <a:p>
          <a:endParaRPr lang="de-CH" sz="1100" b="1" baseline="0"/>
        </a:p>
        <a:p>
          <a:endParaRPr lang="de-CH" sz="1100" b="1" baseline="0"/>
        </a:p>
        <a:p>
          <a:endParaRPr lang="de-CH" sz="1100" b="1" baseline="0"/>
        </a:p>
        <a:p>
          <a:endParaRPr lang="de-CH" sz="1100" b="1" baseline="0"/>
        </a:p>
        <a:p>
          <a:endParaRPr lang="de-CH" sz="1100" b="1" baseline="0"/>
        </a:p>
        <a:p>
          <a:endParaRPr lang="de-CH" sz="1100" b="1" baseline="0"/>
        </a:p>
        <a:p>
          <a:endParaRPr lang="de-CH" sz="1100" b="1" baseline="0"/>
        </a:p>
        <a:p>
          <a:endParaRPr lang="de-CH" sz="1100" b="1"/>
        </a:p>
        <a:p>
          <a:endParaRPr lang="de-CH" sz="1100" b="1"/>
        </a:p>
        <a:p>
          <a:endParaRPr lang="de-CH" sz="1100" b="1"/>
        </a:p>
        <a:p>
          <a:endParaRPr lang="de-CH" sz="1100" b="1"/>
        </a:p>
        <a:p>
          <a:endParaRPr lang="de-CH" sz="1100" b="1"/>
        </a:p>
        <a:p>
          <a:endParaRPr lang="de-CH" sz="1100" b="1"/>
        </a:p>
        <a:p>
          <a:endParaRPr lang="de-CH" sz="1100" b="1"/>
        </a:p>
        <a:p>
          <a:endParaRPr lang="de-CH" sz="1100" b="1"/>
        </a:p>
        <a:p>
          <a:endParaRPr lang="de-CH" sz="1100" b="1"/>
        </a:p>
        <a:p>
          <a:endParaRPr lang="de-CH" sz="1100" b="1"/>
        </a:p>
        <a:p>
          <a:r>
            <a:rPr lang="de-CH" sz="1100" b="1"/>
            <a:t>at the end of</a:t>
          </a:r>
          <a:r>
            <a:rPr lang="de-CH" sz="1100" b="1" baseline="0"/>
            <a:t> the month;</a:t>
          </a:r>
        </a:p>
        <a:p>
          <a:r>
            <a:rPr lang="de-CH" sz="1100" b="1"/>
            <a:t>- print  the month  Summary</a:t>
          </a:r>
        </a:p>
        <a:p>
          <a:r>
            <a:rPr lang="de-CH" sz="1100" b="1"/>
            <a:t>- enter</a:t>
          </a:r>
          <a:r>
            <a:rPr lang="de-CH" sz="1100" b="1" baseline="0"/>
            <a:t> the information regarding booking numbers (check with your teamleader)</a:t>
          </a:r>
          <a:endParaRPr lang="de-CH" sz="1100" b="1"/>
        </a:p>
        <a:p>
          <a:r>
            <a:rPr lang="de-CH" sz="1100" b="1"/>
            <a:t>- sign it </a:t>
          </a:r>
        </a:p>
        <a:p>
          <a:r>
            <a:rPr lang="de-CH" sz="1100" b="1" baseline="0"/>
            <a:t>- give it to the team leader for signature</a:t>
          </a:r>
        </a:p>
        <a:p>
          <a:r>
            <a:rPr lang="de-CH" sz="1100" b="1" baseline="0"/>
            <a:t>- send it to your Company</a:t>
          </a:r>
        </a:p>
        <a:p>
          <a:endParaRPr lang="de-CH" sz="1100" b="1"/>
        </a:p>
        <a:p>
          <a:endParaRPr lang="de-CH" sz="1100" b="1"/>
        </a:p>
      </xdr:txBody>
    </xdr:sp>
    <xdr:clientData/>
  </xdr:twoCellAnchor>
  <xdr:twoCellAnchor editAs="oneCell">
    <xdr:from>
      <xdr:col>53</xdr:col>
      <xdr:colOff>314325</xdr:colOff>
      <xdr:row>2</xdr:row>
      <xdr:rowOff>447675</xdr:rowOff>
    </xdr:from>
    <xdr:to>
      <xdr:col>57</xdr:col>
      <xdr:colOff>140018</xdr:colOff>
      <xdr:row>25</xdr:row>
      <xdr:rowOff>56640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63375" y="1228725"/>
          <a:ext cx="2533333" cy="4076190"/>
        </a:xfrm>
        <a:prstGeom prst="rect">
          <a:avLst/>
        </a:prstGeom>
      </xdr:spPr>
    </xdr:pic>
    <xdr:clientData/>
  </xdr:twoCellAnchor>
  <xdr:twoCellAnchor editAs="oneCell">
    <xdr:from>
      <xdr:col>21</xdr:col>
      <xdr:colOff>44450</xdr:colOff>
      <xdr:row>0</xdr:row>
      <xdr:rowOff>152338</xdr:rowOff>
    </xdr:from>
    <xdr:to>
      <xdr:col>24</xdr:col>
      <xdr:colOff>254000</xdr:colOff>
      <xdr:row>1</xdr:row>
      <xdr:rowOff>514350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4FF3EED-65BD-DD5B-01C9-023323542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6418" b="30714"/>
        <a:stretch>
          <a:fillRect/>
        </a:stretch>
      </xdr:blipFill>
      <xdr:spPr>
        <a:xfrm>
          <a:off x="9112250" y="152338"/>
          <a:ext cx="1841500" cy="523937"/>
        </a:xfrm>
        <a:prstGeom prst="rect">
          <a:avLst/>
        </a:prstGeom>
      </xdr:spPr>
    </xdr:pic>
    <xdr:clientData/>
  </xdr:twoCellAnchor>
  <xdr:twoCellAnchor editAs="oneCell">
    <xdr:from>
      <xdr:col>53</xdr:col>
      <xdr:colOff>323851</xdr:colOff>
      <xdr:row>33</xdr:row>
      <xdr:rowOff>95250</xdr:rowOff>
    </xdr:from>
    <xdr:to>
      <xdr:col>57</xdr:col>
      <xdr:colOff>639602</xdr:colOff>
      <xdr:row>57</xdr:row>
      <xdr:rowOff>15875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D14A6A-65F0-13A9-E875-AB21D26F7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49151" y="7058025"/>
          <a:ext cx="2906551" cy="4549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1194254</xdr:colOff>
      <xdr:row>2</xdr:row>
      <xdr:rowOff>119288</xdr:rowOff>
    </xdr:from>
    <xdr:to>
      <xdr:col>7</xdr:col>
      <xdr:colOff>10886</xdr:colOff>
      <xdr:row>3</xdr:row>
      <xdr:rowOff>292615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3B7BFC-F48B-4015-87E8-61DAC93503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418" b="30714"/>
        <a:stretch>
          <a:fillRect/>
        </a:stretch>
      </xdr:blipFill>
      <xdr:spPr>
        <a:xfrm>
          <a:off x="7072540" y="649967"/>
          <a:ext cx="1851025" cy="5271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1248834</xdr:colOff>
      <xdr:row>2</xdr:row>
      <xdr:rowOff>98424</xdr:rowOff>
    </xdr:from>
    <xdr:to>
      <xdr:col>7</xdr:col>
      <xdr:colOff>62442</xdr:colOff>
      <xdr:row>3</xdr:row>
      <xdr:rowOff>269936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262FAE-25DD-40F0-ABC6-8939CAE688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418" b="30714"/>
        <a:stretch>
          <a:fillRect/>
        </a:stretch>
      </xdr:blipFill>
      <xdr:spPr>
        <a:xfrm>
          <a:off x="6942667" y="627591"/>
          <a:ext cx="1851025" cy="5207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1206500</xdr:colOff>
      <xdr:row>2</xdr:row>
      <xdr:rowOff>137583</xdr:rowOff>
    </xdr:from>
    <xdr:to>
      <xdr:col>7</xdr:col>
      <xdr:colOff>23283</xdr:colOff>
      <xdr:row>3</xdr:row>
      <xdr:rowOff>309095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8875F9-E39B-45C2-9302-81592C42BF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418" b="30714"/>
        <a:stretch>
          <a:fillRect/>
        </a:stretch>
      </xdr:blipFill>
      <xdr:spPr>
        <a:xfrm>
          <a:off x="6900333" y="666750"/>
          <a:ext cx="1854200" cy="5207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1209675</xdr:colOff>
      <xdr:row>2</xdr:row>
      <xdr:rowOff>123824</xdr:rowOff>
    </xdr:from>
    <xdr:to>
      <xdr:col>7</xdr:col>
      <xdr:colOff>20108</xdr:colOff>
      <xdr:row>3</xdr:row>
      <xdr:rowOff>298511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0BC1F2-3DC2-46C1-A120-8977ECE867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418" b="30714"/>
        <a:stretch>
          <a:fillRect/>
        </a:stretch>
      </xdr:blipFill>
      <xdr:spPr>
        <a:xfrm>
          <a:off x="6903508" y="652991"/>
          <a:ext cx="1847850" cy="5239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1224492</xdr:colOff>
      <xdr:row>2</xdr:row>
      <xdr:rowOff>105833</xdr:rowOff>
    </xdr:from>
    <xdr:to>
      <xdr:col>7</xdr:col>
      <xdr:colOff>47625</xdr:colOff>
      <xdr:row>3</xdr:row>
      <xdr:rowOff>280520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DBD314-2E8C-446F-84DB-41110D8888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418" b="30714"/>
        <a:stretch>
          <a:fillRect/>
        </a:stretch>
      </xdr:blipFill>
      <xdr:spPr>
        <a:xfrm>
          <a:off x="6918325" y="635000"/>
          <a:ext cx="1860550" cy="5239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1217084</xdr:colOff>
      <xdr:row>2</xdr:row>
      <xdr:rowOff>137584</xdr:rowOff>
    </xdr:from>
    <xdr:to>
      <xdr:col>7</xdr:col>
      <xdr:colOff>27517</xdr:colOff>
      <xdr:row>3</xdr:row>
      <xdr:rowOff>305921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144CF9-CF00-408F-962F-D51E3137B5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418" b="30714"/>
        <a:stretch>
          <a:fillRect/>
        </a:stretch>
      </xdr:blipFill>
      <xdr:spPr>
        <a:xfrm>
          <a:off x="6910917" y="666751"/>
          <a:ext cx="1847850" cy="51758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1143000</xdr:colOff>
      <xdr:row>2</xdr:row>
      <xdr:rowOff>105833</xdr:rowOff>
    </xdr:from>
    <xdr:to>
      <xdr:col>6</xdr:col>
      <xdr:colOff>3000375</xdr:colOff>
      <xdr:row>3</xdr:row>
      <xdr:rowOff>274170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AB2A8F-E4B4-4C8E-9FF8-CC55E02477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418" b="30714"/>
        <a:stretch>
          <a:fillRect/>
        </a:stretch>
      </xdr:blipFill>
      <xdr:spPr>
        <a:xfrm>
          <a:off x="6836833" y="635000"/>
          <a:ext cx="1857375" cy="51758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1185334</xdr:colOff>
      <xdr:row>2</xdr:row>
      <xdr:rowOff>105833</xdr:rowOff>
    </xdr:from>
    <xdr:to>
      <xdr:col>7</xdr:col>
      <xdr:colOff>5292</xdr:colOff>
      <xdr:row>3</xdr:row>
      <xdr:rowOff>274170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DCA4C1-1FEE-4BD9-8759-9DF6C38089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418" b="30714"/>
        <a:stretch>
          <a:fillRect/>
        </a:stretch>
      </xdr:blipFill>
      <xdr:spPr>
        <a:xfrm>
          <a:off x="6879167" y="635000"/>
          <a:ext cx="1857375" cy="5175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1195917</xdr:colOff>
      <xdr:row>2</xdr:row>
      <xdr:rowOff>158750</xdr:rowOff>
    </xdr:from>
    <xdr:to>
      <xdr:col>7</xdr:col>
      <xdr:colOff>15875</xdr:colOff>
      <xdr:row>4</xdr:row>
      <xdr:rowOff>9587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4FC073-CF0E-4EBE-85C1-3A3A64BF16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418" b="30714"/>
        <a:stretch>
          <a:fillRect/>
        </a:stretch>
      </xdr:blipFill>
      <xdr:spPr>
        <a:xfrm>
          <a:off x="6889750" y="687917"/>
          <a:ext cx="1857375" cy="5175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1094317</xdr:colOff>
      <xdr:row>2</xdr:row>
      <xdr:rowOff>95248</xdr:rowOff>
    </xdr:from>
    <xdr:to>
      <xdr:col>6</xdr:col>
      <xdr:colOff>2961217</xdr:colOff>
      <xdr:row>3</xdr:row>
      <xdr:rowOff>260410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7D4C64-D5CD-4CBE-9586-9AF7029069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418" b="30714"/>
        <a:stretch>
          <a:fillRect/>
        </a:stretch>
      </xdr:blipFill>
      <xdr:spPr>
        <a:xfrm>
          <a:off x="6788150" y="624415"/>
          <a:ext cx="1866900" cy="5144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1095375</xdr:colOff>
      <xdr:row>2</xdr:row>
      <xdr:rowOff>133350</xdr:rowOff>
    </xdr:from>
    <xdr:to>
      <xdr:col>6</xdr:col>
      <xdr:colOff>2949575</xdr:colOff>
      <xdr:row>3</xdr:row>
      <xdr:rowOff>304862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E732D3-D1C9-4651-8813-EF8203E7AA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418" b="30714"/>
        <a:stretch>
          <a:fillRect/>
        </a:stretch>
      </xdr:blipFill>
      <xdr:spPr>
        <a:xfrm>
          <a:off x="6781800" y="657225"/>
          <a:ext cx="1854200" cy="5239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1144231</xdr:colOff>
      <xdr:row>2</xdr:row>
      <xdr:rowOff>125639</xdr:rowOff>
    </xdr:from>
    <xdr:to>
      <xdr:col>6</xdr:col>
      <xdr:colOff>3001606</xdr:colOff>
      <xdr:row>3</xdr:row>
      <xdr:rowOff>286266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B67568-EBA9-49B6-8CC1-690FE02404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6418" b="30714"/>
        <a:stretch>
          <a:fillRect/>
        </a:stretch>
      </xdr:blipFill>
      <xdr:spPr>
        <a:xfrm>
          <a:off x="6820353" y="650486"/>
          <a:ext cx="1857375" cy="510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3" transitionEvaluation="1" transitionEntry="1">
    <tabColor rgb="FF00B050"/>
    <pageSetUpPr fitToPage="1"/>
  </sheetPr>
  <dimension ref="B2:BP81"/>
  <sheetViews>
    <sheetView zoomScale="90" zoomScaleNormal="90" workbookViewId="0">
      <pane ySplit="2" topLeftCell="A3" activePane="bottomLeft" state="frozen"/>
      <selection pane="bottomLeft" activeCell="T33" sqref="T33"/>
    </sheetView>
  </sheetViews>
  <sheetFormatPr defaultColWidth="7.88671875" defaultRowHeight="12.75"/>
  <cols>
    <col min="1" max="1" width="7.88671875" style="2" customWidth="1"/>
    <col min="2" max="2" width="4.21875" style="2" customWidth="1"/>
    <col min="3" max="3" width="3.44140625" style="2" customWidth="1"/>
    <col min="4" max="4" width="8.5546875" style="2" customWidth="1"/>
    <col min="5" max="5" width="3.77734375" style="3" customWidth="1"/>
    <col min="6" max="6" width="4.21875" style="2" customWidth="1"/>
    <col min="7" max="7" width="3.44140625" style="2" customWidth="1"/>
    <col min="8" max="8" width="8.77734375" style="2" customWidth="1"/>
    <col min="9" max="9" width="3.77734375" style="3" customWidth="1"/>
    <col min="10" max="10" width="4.6640625" style="2" customWidth="1"/>
    <col min="11" max="11" width="3.44140625" style="2" customWidth="1"/>
    <col min="12" max="12" width="8.5546875" style="2" customWidth="1"/>
    <col min="13" max="13" width="3.77734375" style="3" customWidth="1"/>
    <col min="14" max="14" width="4.33203125" style="2" customWidth="1"/>
    <col min="15" max="15" width="3.44140625" style="2" customWidth="1"/>
    <col min="16" max="16" width="8.77734375" style="2" customWidth="1"/>
    <col min="17" max="17" width="3.77734375" style="2" customWidth="1"/>
    <col min="18" max="18" width="4.33203125" style="2" customWidth="1"/>
    <col min="19" max="19" width="3.44140625" style="2" customWidth="1"/>
    <col min="20" max="20" width="9.21875" style="2" customWidth="1"/>
    <col min="21" max="21" width="3.77734375" style="3" customWidth="1"/>
    <col min="22" max="22" width="4.5546875" style="2" customWidth="1"/>
    <col min="23" max="23" width="3.5546875" style="2" customWidth="1"/>
    <col min="24" max="24" width="11.6640625" style="2" customWidth="1"/>
    <col min="25" max="25" width="7.109375" style="3" customWidth="1"/>
    <col min="26" max="26" width="16.6640625" style="2" hidden="1" customWidth="1"/>
    <col min="27" max="27" width="16.44140625" style="45" hidden="1" customWidth="1"/>
    <col min="28" max="47" width="13.33203125" style="2" hidden="1" customWidth="1"/>
    <col min="48" max="48" width="11.44140625" style="2" hidden="1" customWidth="1"/>
    <col min="49" max="52" width="7.88671875" style="2" hidden="1" customWidth="1"/>
    <col min="53" max="55" width="7.88671875" style="2" customWidth="1"/>
    <col min="56" max="61" width="7.88671875" style="2"/>
    <col min="62" max="85" width="7.88671875" style="2" customWidth="1"/>
    <col min="86" max="16384" width="7.88671875" style="2"/>
  </cols>
  <sheetData>
    <row r="2" spans="2:68" ht="54.6" customHeight="1">
      <c r="B2" s="88" t="s">
        <v>93</v>
      </c>
      <c r="C2" s="89"/>
      <c r="D2" s="89"/>
      <c r="E2" s="89"/>
      <c r="F2" s="89"/>
      <c r="G2" s="89"/>
      <c r="H2" s="89"/>
      <c r="I2" s="89"/>
      <c r="J2" s="86"/>
      <c r="K2" s="80"/>
      <c r="L2" s="80"/>
      <c r="M2" s="80"/>
      <c r="N2" s="80"/>
      <c r="O2" s="80"/>
      <c r="P2" s="85" t="s">
        <v>91</v>
      </c>
      <c r="Q2" s="80"/>
      <c r="R2" s="86"/>
      <c r="S2" s="80"/>
      <c r="T2" s="80"/>
      <c r="U2" s="80"/>
      <c r="V2" s="80"/>
      <c r="W2" s="80"/>
      <c r="X2" s="80"/>
      <c r="Y2" s="80"/>
      <c r="Z2" s="1"/>
      <c r="AA2" s="44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2:68" s="60" customFormat="1" ht="48.75" customHeight="1" thickBot="1">
      <c r="B3" s="213" t="s">
        <v>22</v>
      </c>
      <c r="C3" s="214"/>
      <c r="D3" s="214"/>
      <c r="E3" s="211" t="s">
        <v>95</v>
      </c>
      <c r="F3" s="211"/>
      <c r="G3" s="211"/>
      <c r="H3" s="211"/>
      <c r="I3" s="211"/>
      <c r="J3" s="211"/>
      <c r="K3" s="212"/>
      <c r="L3" s="84"/>
      <c r="M3" s="211" t="s">
        <v>52</v>
      </c>
      <c r="N3" s="211"/>
      <c r="O3" s="212"/>
      <c r="P3" s="215"/>
      <c r="Q3" s="216"/>
      <c r="R3" s="217" t="s">
        <v>90</v>
      </c>
      <c r="S3" s="211"/>
      <c r="T3" s="211"/>
      <c r="U3" s="211"/>
      <c r="V3" s="211"/>
      <c r="W3" s="211"/>
      <c r="X3" s="211"/>
      <c r="Y3" s="212"/>
      <c r="AA3" s="61"/>
      <c r="AV3" s="60">
        <v>2026</v>
      </c>
    </row>
    <row r="4" spans="2:68" ht="18.75" thickBot="1">
      <c r="B4" s="90" t="s">
        <v>36</v>
      </c>
      <c r="C4" s="91"/>
      <c r="D4" s="16"/>
      <c r="E4" s="81"/>
      <c r="F4" s="153" t="s">
        <v>37</v>
      </c>
      <c r="G4" s="154"/>
      <c r="H4" s="6"/>
      <c r="I4" s="155"/>
      <c r="J4" s="82" t="s">
        <v>38</v>
      </c>
      <c r="K4" s="83"/>
      <c r="L4" s="16"/>
      <c r="M4" s="81"/>
      <c r="N4" s="82" t="s">
        <v>0</v>
      </c>
      <c r="O4" s="83"/>
      <c r="P4" s="16"/>
      <c r="Q4" s="87"/>
      <c r="R4" s="82" t="s">
        <v>39</v>
      </c>
      <c r="S4" s="83"/>
      <c r="T4" s="16"/>
      <c r="U4" s="81"/>
      <c r="V4" s="82" t="s">
        <v>40</v>
      </c>
      <c r="W4" s="83"/>
      <c r="X4" s="16"/>
      <c r="Y4" s="81"/>
      <c r="Z4" s="1"/>
      <c r="AA4" s="49" t="s">
        <v>24</v>
      </c>
      <c r="AB4" s="49" t="s">
        <v>25</v>
      </c>
      <c r="AC4" s="49" t="s">
        <v>26</v>
      </c>
      <c r="AD4" s="49" t="s">
        <v>27</v>
      </c>
      <c r="AE4" s="49" t="s">
        <v>28</v>
      </c>
      <c r="AF4" s="49" t="s">
        <v>29</v>
      </c>
      <c r="AM4" s="51"/>
      <c r="AN4" s="51"/>
      <c r="AO4" s="51"/>
      <c r="AP4" s="51"/>
      <c r="AQ4" s="51"/>
      <c r="AR4" s="51"/>
      <c r="AS4" s="51"/>
      <c r="AT4" s="51"/>
      <c r="AU4" s="5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2:68" s="39" customFormat="1" ht="14.1" customHeight="1">
      <c r="B5" s="35">
        <f>WEEKDAY(5,1)</f>
        <v>5</v>
      </c>
      <c r="C5" s="108">
        <v>1</v>
      </c>
      <c r="D5" s="138" t="s">
        <v>1</v>
      </c>
      <c r="E5" s="150">
        <v>1</v>
      </c>
      <c r="F5" s="156">
        <f>B35+1</f>
        <v>36</v>
      </c>
      <c r="G5" s="157">
        <v>1</v>
      </c>
      <c r="H5" s="158" t="s">
        <v>20</v>
      </c>
      <c r="I5" s="159">
        <f>E35+1</f>
        <v>32</v>
      </c>
      <c r="J5" s="149">
        <f>F32+1</f>
        <v>64</v>
      </c>
      <c r="K5" s="144">
        <v>1</v>
      </c>
      <c r="L5" s="138" t="s">
        <v>20</v>
      </c>
      <c r="M5" s="36">
        <f>I32+1</f>
        <v>60</v>
      </c>
      <c r="N5" s="139">
        <f>J35+1</f>
        <v>95</v>
      </c>
      <c r="O5" s="140">
        <v>1</v>
      </c>
      <c r="P5" s="143" t="s">
        <v>17</v>
      </c>
      <c r="Q5" s="141">
        <f>M35+1</f>
        <v>91</v>
      </c>
      <c r="R5" s="139">
        <f>N34+1</f>
        <v>125</v>
      </c>
      <c r="S5" s="140">
        <v>1</v>
      </c>
      <c r="T5" s="142" t="s">
        <v>17</v>
      </c>
      <c r="U5" s="141">
        <f>Q34+1</f>
        <v>121</v>
      </c>
      <c r="V5" s="139">
        <f>R35+1</f>
        <v>156</v>
      </c>
      <c r="W5" s="140">
        <v>1</v>
      </c>
      <c r="X5" s="143" t="s">
        <v>19</v>
      </c>
      <c r="Y5" s="141">
        <f>U35+1</f>
        <v>152</v>
      </c>
      <c r="Z5" s="37"/>
      <c r="AA5" s="50" t="str">
        <f>IF(D5="Day",1,IF(D5="1/2 Day",0.5,IF(D5="Day Special",1.2,"NA")))</f>
        <v>NA</v>
      </c>
      <c r="AB5" s="50" t="str">
        <f>IF(H5="Day",1,IF(H5="1/2 Day",0.5,IF(H5="Day Special",1.2,"NA")))</f>
        <v>NA</v>
      </c>
      <c r="AC5" s="50" t="str">
        <f>IF(L5="Day",1,IF(L5="1/2 Day",0.5,IF(L5="Day Special",1.2,"NA")))</f>
        <v>NA</v>
      </c>
      <c r="AD5" s="50">
        <f>IF(P5="Day",1,IF(P5="1/2 Day",0.5,IF(P5="Day Special",1.2,"NA")))</f>
        <v>1</v>
      </c>
      <c r="AE5" s="50">
        <f>IF(T5="Day",1,IF(T5="1/2 Day",0.5,IF(D5="Day Special",1.2,"NA")))</f>
        <v>1</v>
      </c>
      <c r="AF5" s="50" t="str">
        <f>IF(X5="Day",1,IF(X5="1/2 Day",0.5,IF(X5="Day Special",1.2,"NA")))</f>
        <v>NA</v>
      </c>
      <c r="AM5" s="46"/>
      <c r="AN5" s="46"/>
      <c r="AO5" s="46"/>
      <c r="AP5" s="46"/>
      <c r="AQ5" s="46"/>
      <c r="AR5" s="46"/>
      <c r="AS5" s="46"/>
      <c r="AT5" s="46"/>
      <c r="AU5" s="46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8"/>
      <c r="BL5" s="38"/>
      <c r="BM5" s="37"/>
      <c r="BN5" s="37"/>
      <c r="BO5" s="37"/>
      <c r="BP5" s="37"/>
    </row>
    <row r="6" spans="2:68" s="39" customFormat="1" ht="14.1" customHeight="1">
      <c r="B6" s="139">
        <f>B5+1</f>
        <v>6</v>
      </c>
      <c r="C6" s="140">
        <v>2</v>
      </c>
      <c r="D6" s="142" t="s">
        <v>20</v>
      </c>
      <c r="E6" s="151">
        <f>E5+1</f>
        <v>2</v>
      </c>
      <c r="F6" s="194">
        <f>F5+1</f>
        <v>37</v>
      </c>
      <c r="G6" s="140">
        <v>2</v>
      </c>
      <c r="H6" s="142" t="s">
        <v>20</v>
      </c>
      <c r="I6" s="195">
        <f>I5+1</f>
        <v>33</v>
      </c>
      <c r="J6" s="152">
        <f>J5+1</f>
        <v>65</v>
      </c>
      <c r="K6" s="140">
        <v>2</v>
      </c>
      <c r="L6" s="143" t="s">
        <v>20</v>
      </c>
      <c r="M6" s="141">
        <f>M5+1</f>
        <v>61</v>
      </c>
      <c r="N6" s="139">
        <f>N5+1</f>
        <v>96</v>
      </c>
      <c r="O6" s="140">
        <f>O5+1</f>
        <v>2</v>
      </c>
      <c r="P6" s="142" t="s">
        <v>17</v>
      </c>
      <c r="Q6" s="141">
        <f t="shared" ref="Q6:S34" si="0">Q5+1</f>
        <v>92</v>
      </c>
      <c r="R6" s="35">
        <f t="shared" ref="R6:S6" si="1">R5+1</f>
        <v>126</v>
      </c>
      <c r="S6" s="108">
        <f t="shared" si="1"/>
        <v>2</v>
      </c>
      <c r="T6" s="138" t="s">
        <v>20</v>
      </c>
      <c r="U6" s="36">
        <f t="shared" ref="U6:U7" si="2">U5+1</f>
        <v>122</v>
      </c>
      <c r="V6" s="139">
        <f t="shared" ref="U6:W34" si="3">V5+1</f>
        <v>157</v>
      </c>
      <c r="W6" s="140">
        <f>W5+1</f>
        <v>2</v>
      </c>
      <c r="X6" s="143" t="s">
        <v>19</v>
      </c>
      <c r="Y6" s="141">
        <f t="shared" ref="Y6:Y34" si="4">Y5+1</f>
        <v>153</v>
      </c>
      <c r="Z6" s="37"/>
      <c r="AA6" s="50" t="str">
        <f t="shared" ref="AA6:AA35" si="5">IF(D6="Day",1,IF(D6="1/2 Day",0.5,IF(D6="Day Special",1.2,"NA")))</f>
        <v>NA</v>
      </c>
      <c r="AB6" s="50" t="str">
        <f t="shared" ref="AB6:AB33" si="6">IF(H6="Day",1,IF(H6="1/2 Day",0.5,IF(H6="Day Special",1.2,"NA")))</f>
        <v>NA</v>
      </c>
      <c r="AC6" s="50" t="str">
        <f t="shared" ref="AC6:AC35" si="7">IF(L6="Day",1,IF(L6="1/2 Day",0.5,IF(L6="Day Special",1.2,"NA")))</f>
        <v>NA</v>
      </c>
      <c r="AD6" s="50">
        <f t="shared" ref="AD6:AD34" si="8">IF(P6="Day",1,IF(P6="1/2 Day",0.5,IF(P6="Day Special",1.2,"NA")))</f>
        <v>1</v>
      </c>
      <c r="AE6" s="50" t="str">
        <f t="shared" ref="AE6:AE35" si="9">IF(T6="Day",1,IF(T6="1/2 Day",0.5,IF(D6="Day Special",1.2,"NA")))</f>
        <v>NA</v>
      </c>
      <c r="AF6" s="50" t="str">
        <f t="shared" ref="AF6:AF34" si="10">IF(X6="Day",1,IF(X6="1/2 Day",0.5,IF(X6="Day Special",1.2,"NA")))</f>
        <v>NA</v>
      </c>
      <c r="AM6" s="46"/>
      <c r="AN6" s="46"/>
      <c r="AO6" s="46"/>
      <c r="AP6" s="46"/>
      <c r="AQ6" s="46"/>
      <c r="AR6" s="46"/>
      <c r="AS6" s="46"/>
      <c r="AT6" s="46"/>
      <c r="AU6" s="46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41"/>
      <c r="BO6" s="41"/>
      <c r="BP6" s="41"/>
    </row>
    <row r="7" spans="2:68" s="39" customFormat="1" ht="14.1" customHeight="1">
      <c r="B7" s="35">
        <f t="shared" ref="B7:B35" si="11">B6+1</f>
        <v>7</v>
      </c>
      <c r="C7" s="108">
        <v>3</v>
      </c>
      <c r="D7" s="138" t="s">
        <v>20</v>
      </c>
      <c r="E7" s="150">
        <f t="shared" ref="E7:F35" si="12">E6+1</f>
        <v>3</v>
      </c>
      <c r="F7" s="194">
        <f t="shared" si="12"/>
        <v>38</v>
      </c>
      <c r="G7" s="140">
        <v>4</v>
      </c>
      <c r="H7" s="143" t="s">
        <v>20</v>
      </c>
      <c r="I7" s="195">
        <f>I6+1</f>
        <v>34</v>
      </c>
      <c r="J7" s="152">
        <f>J6+1</f>
        <v>66</v>
      </c>
      <c r="K7" s="140">
        <v>3</v>
      </c>
      <c r="L7" s="143" t="s">
        <v>20</v>
      </c>
      <c r="M7" s="141">
        <f>M6+1</f>
        <v>62</v>
      </c>
      <c r="N7" s="35">
        <f t="shared" ref="N7:O34" si="13">N6+1</f>
        <v>97</v>
      </c>
      <c r="O7" s="108">
        <f t="shared" si="13"/>
        <v>3</v>
      </c>
      <c r="P7" s="138" t="s">
        <v>2</v>
      </c>
      <c r="Q7" s="36">
        <f t="shared" si="0"/>
        <v>93</v>
      </c>
      <c r="R7" s="35">
        <f t="shared" ref="R7:S7" si="14">R6+1</f>
        <v>127</v>
      </c>
      <c r="S7" s="108">
        <f t="shared" si="14"/>
        <v>3</v>
      </c>
      <c r="T7" s="138" t="s">
        <v>20</v>
      </c>
      <c r="U7" s="146">
        <f t="shared" si="2"/>
        <v>123</v>
      </c>
      <c r="V7" s="139">
        <f t="shared" si="3"/>
        <v>158</v>
      </c>
      <c r="W7" s="140">
        <f>W6+1</f>
        <v>3</v>
      </c>
      <c r="X7" s="142" t="s">
        <v>19</v>
      </c>
      <c r="Y7" s="141">
        <f t="shared" si="4"/>
        <v>154</v>
      </c>
      <c r="Z7" s="37"/>
      <c r="AA7" s="50" t="str">
        <f t="shared" si="5"/>
        <v>NA</v>
      </c>
      <c r="AB7" s="50" t="str">
        <f t="shared" si="6"/>
        <v>NA</v>
      </c>
      <c r="AC7" s="50" t="str">
        <f t="shared" si="7"/>
        <v>NA</v>
      </c>
      <c r="AD7" s="50" t="str">
        <f t="shared" si="8"/>
        <v>NA</v>
      </c>
      <c r="AE7" s="50" t="str">
        <f t="shared" si="9"/>
        <v>NA</v>
      </c>
      <c r="AF7" s="50" t="str">
        <f t="shared" si="10"/>
        <v>NA</v>
      </c>
      <c r="AM7" s="46"/>
      <c r="AN7" s="46"/>
      <c r="AO7" s="46"/>
      <c r="AP7" s="46"/>
      <c r="AQ7" s="46"/>
      <c r="AR7" s="46"/>
      <c r="AS7" s="46"/>
      <c r="AT7" s="46"/>
      <c r="AU7" s="46"/>
      <c r="AV7" s="37" t="s">
        <v>17</v>
      </c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8"/>
      <c r="BL7" s="38"/>
      <c r="BM7" s="37"/>
      <c r="BN7" s="37"/>
      <c r="BO7" s="41"/>
      <c r="BP7" s="42"/>
    </row>
    <row r="8" spans="2:68" s="39" customFormat="1" ht="14.1" customHeight="1">
      <c r="B8" s="35">
        <f t="shared" si="11"/>
        <v>8</v>
      </c>
      <c r="C8" s="108">
        <v>4</v>
      </c>
      <c r="D8" s="138" t="s">
        <v>20</v>
      </c>
      <c r="E8" s="150">
        <f t="shared" si="12"/>
        <v>4</v>
      </c>
      <c r="F8" s="194">
        <f t="shared" si="12"/>
        <v>39</v>
      </c>
      <c r="G8" s="140">
        <v>4</v>
      </c>
      <c r="H8" s="143" t="s">
        <v>20</v>
      </c>
      <c r="I8" s="195">
        <f t="shared" ref="I8:I30" si="15">I7+1</f>
        <v>35</v>
      </c>
      <c r="J8" s="152">
        <f t="shared" ref="J8" si="16">J7+1</f>
        <v>67</v>
      </c>
      <c r="K8" s="140">
        <v>4</v>
      </c>
      <c r="L8" s="142" t="s">
        <v>20</v>
      </c>
      <c r="M8" s="141">
        <f t="shared" ref="M8" si="17">M7+1</f>
        <v>63</v>
      </c>
      <c r="N8" s="35">
        <f t="shared" si="13"/>
        <v>98</v>
      </c>
      <c r="O8" s="108">
        <f t="shared" si="13"/>
        <v>4</v>
      </c>
      <c r="P8" s="138" t="s">
        <v>20</v>
      </c>
      <c r="Q8" s="36">
        <f t="shared" ref="Q8" si="18">Q7+1</f>
        <v>94</v>
      </c>
      <c r="R8" s="139">
        <f t="shared" si="0"/>
        <v>128</v>
      </c>
      <c r="S8" s="140">
        <f t="shared" si="0"/>
        <v>4</v>
      </c>
      <c r="T8" s="143" t="s">
        <v>17</v>
      </c>
      <c r="U8" s="141">
        <f t="shared" si="3"/>
        <v>124</v>
      </c>
      <c r="V8" s="139">
        <f t="shared" si="3"/>
        <v>159</v>
      </c>
      <c r="W8" s="140">
        <f t="shared" si="3"/>
        <v>4</v>
      </c>
      <c r="X8" s="142" t="s">
        <v>19</v>
      </c>
      <c r="Y8" s="141">
        <f t="shared" si="4"/>
        <v>155</v>
      </c>
      <c r="Z8" s="37"/>
      <c r="AA8" s="50" t="str">
        <f t="shared" si="5"/>
        <v>NA</v>
      </c>
      <c r="AB8" s="50" t="str">
        <f t="shared" si="6"/>
        <v>NA</v>
      </c>
      <c r="AC8" s="50" t="str">
        <f t="shared" si="7"/>
        <v>NA</v>
      </c>
      <c r="AD8" s="50" t="str">
        <f t="shared" si="8"/>
        <v>NA</v>
      </c>
      <c r="AE8" s="50">
        <f t="shared" si="9"/>
        <v>1</v>
      </c>
      <c r="AF8" s="50" t="str">
        <f t="shared" si="10"/>
        <v>NA</v>
      </c>
      <c r="AM8" s="46"/>
      <c r="AN8" s="46"/>
      <c r="AO8" s="46"/>
      <c r="AP8" s="46"/>
      <c r="AQ8" s="46"/>
      <c r="AR8" s="46"/>
      <c r="AS8" s="46"/>
      <c r="AT8" s="46"/>
      <c r="AU8" s="46"/>
      <c r="AV8" s="37" t="s">
        <v>18</v>
      </c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43"/>
      <c r="BO8" s="41"/>
      <c r="BP8" s="42"/>
    </row>
    <row r="9" spans="2:68" s="39" customFormat="1" ht="14.1" customHeight="1">
      <c r="B9" s="139">
        <f t="shared" si="11"/>
        <v>9</v>
      </c>
      <c r="C9" s="140">
        <v>5</v>
      </c>
      <c r="D9" s="142" t="s">
        <v>20</v>
      </c>
      <c r="E9" s="151">
        <f t="shared" si="12"/>
        <v>5</v>
      </c>
      <c r="F9" s="194">
        <f t="shared" si="12"/>
        <v>40</v>
      </c>
      <c r="G9" s="140">
        <v>5</v>
      </c>
      <c r="H9" s="142" t="s">
        <v>20</v>
      </c>
      <c r="I9" s="195">
        <f t="shared" si="15"/>
        <v>36</v>
      </c>
      <c r="J9" s="152">
        <f t="shared" ref="J9" si="19">J8+1</f>
        <v>68</v>
      </c>
      <c r="K9" s="140">
        <v>5</v>
      </c>
      <c r="L9" s="142" t="s">
        <v>20</v>
      </c>
      <c r="M9" s="141">
        <f t="shared" ref="M9" si="20">M8+1</f>
        <v>64</v>
      </c>
      <c r="N9" s="35">
        <f t="shared" si="13"/>
        <v>99</v>
      </c>
      <c r="O9" s="108">
        <f t="shared" si="13"/>
        <v>5</v>
      </c>
      <c r="P9" s="138" t="s">
        <v>55</v>
      </c>
      <c r="Q9" s="36">
        <f t="shared" ref="Q9" si="21">Q8+1</f>
        <v>95</v>
      </c>
      <c r="R9" s="139">
        <f t="shared" si="0"/>
        <v>129</v>
      </c>
      <c r="S9" s="140">
        <f t="shared" si="0"/>
        <v>5</v>
      </c>
      <c r="T9" s="143" t="s">
        <v>17</v>
      </c>
      <c r="U9" s="141">
        <f t="shared" si="3"/>
        <v>125</v>
      </c>
      <c r="V9" s="139">
        <f t="shared" si="3"/>
        <v>160</v>
      </c>
      <c r="W9" s="140">
        <f t="shared" si="3"/>
        <v>5</v>
      </c>
      <c r="X9" s="142" t="s">
        <v>19</v>
      </c>
      <c r="Y9" s="141">
        <f t="shared" si="4"/>
        <v>156</v>
      </c>
      <c r="Z9" s="37"/>
      <c r="AA9" s="50" t="str">
        <f t="shared" si="5"/>
        <v>NA</v>
      </c>
      <c r="AB9" s="50" t="str">
        <f t="shared" si="6"/>
        <v>NA</v>
      </c>
      <c r="AC9" s="50" t="str">
        <f t="shared" si="7"/>
        <v>NA</v>
      </c>
      <c r="AD9" s="50" t="str">
        <f t="shared" si="8"/>
        <v>NA</v>
      </c>
      <c r="AE9" s="50">
        <f t="shared" si="9"/>
        <v>1</v>
      </c>
      <c r="AF9" s="50" t="str">
        <f t="shared" si="10"/>
        <v>NA</v>
      </c>
      <c r="AM9" s="46"/>
      <c r="AN9" s="46"/>
      <c r="AO9" s="46"/>
      <c r="AP9" s="46"/>
      <c r="AQ9" s="46"/>
      <c r="AR9" s="46"/>
      <c r="AS9" s="46"/>
      <c r="AT9" s="46"/>
      <c r="AU9" s="46"/>
      <c r="AV9" s="37" t="s">
        <v>19</v>
      </c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</row>
    <row r="10" spans="2:68" s="39" customFormat="1" ht="14.1" customHeight="1">
      <c r="B10" s="139">
        <f t="shared" si="11"/>
        <v>10</v>
      </c>
      <c r="C10" s="140">
        <v>6</v>
      </c>
      <c r="D10" s="143" t="s">
        <v>20</v>
      </c>
      <c r="E10" s="151">
        <f t="shared" si="12"/>
        <v>6</v>
      </c>
      <c r="F10" s="194">
        <f t="shared" si="12"/>
        <v>41</v>
      </c>
      <c r="G10" s="140">
        <v>6</v>
      </c>
      <c r="H10" s="142" t="s">
        <v>20</v>
      </c>
      <c r="I10" s="195">
        <f t="shared" si="15"/>
        <v>37</v>
      </c>
      <c r="J10" s="152">
        <f>J9+1</f>
        <v>69</v>
      </c>
      <c r="K10" s="140">
        <v>6</v>
      </c>
      <c r="L10" s="142" t="s">
        <v>20</v>
      </c>
      <c r="M10" s="141">
        <f t="shared" ref="M10:O15" si="22">M9+1</f>
        <v>65</v>
      </c>
      <c r="N10" s="35">
        <f t="shared" si="13"/>
        <v>100</v>
      </c>
      <c r="O10" s="108">
        <f t="shared" si="13"/>
        <v>6</v>
      </c>
      <c r="P10" s="145" t="s">
        <v>4</v>
      </c>
      <c r="Q10" s="36">
        <f t="shared" si="0"/>
        <v>96</v>
      </c>
      <c r="R10" s="139">
        <f t="shared" si="0"/>
        <v>130</v>
      </c>
      <c r="S10" s="140">
        <f t="shared" si="0"/>
        <v>6</v>
      </c>
      <c r="T10" s="143" t="s">
        <v>17</v>
      </c>
      <c r="U10" s="141">
        <f t="shared" si="3"/>
        <v>126</v>
      </c>
      <c r="V10" s="35">
        <f t="shared" si="3"/>
        <v>161</v>
      </c>
      <c r="W10" s="108">
        <f t="shared" si="3"/>
        <v>6</v>
      </c>
      <c r="X10" s="138" t="s">
        <v>20</v>
      </c>
      <c r="Y10" s="36">
        <f>Y9+1</f>
        <v>157</v>
      </c>
      <c r="Z10" s="37"/>
      <c r="AA10" s="50" t="str">
        <f t="shared" si="5"/>
        <v>NA</v>
      </c>
      <c r="AB10" s="50" t="str">
        <f t="shared" si="6"/>
        <v>NA</v>
      </c>
      <c r="AC10" s="50" t="str">
        <f t="shared" si="7"/>
        <v>NA</v>
      </c>
      <c r="AD10" s="50" t="str">
        <f t="shared" si="8"/>
        <v>NA</v>
      </c>
      <c r="AE10" s="50">
        <f t="shared" si="9"/>
        <v>1</v>
      </c>
      <c r="AF10" s="50" t="str">
        <f t="shared" si="10"/>
        <v>NA</v>
      </c>
      <c r="AM10" s="46"/>
      <c r="AN10" s="46"/>
      <c r="AO10" s="46"/>
      <c r="AP10" s="46"/>
      <c r="AQ10" s="46"/>
      <c r="AR10" s="46"/>
      <c r="AS10" s="46"/>
      <c r="AT10" s="46"/>
      <c r="AU10" s="46"/>
      <c r="AV10" s="37" t="s">
        <v>54</v>
      </c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8"/>
      <c r="BL10" s="38"/>
      <c r="BM10" s="37"/>
      <c r="BN10" s="37"/>
      <c r="BO10" s="37"/>
      <c r="BP10" s="37"/>
    </row>
    <row r="11" spans="2:68" s="39" customFormat="1" ht="14.1" customHeight="1">
      <c r="B11" s="139">
        <f t="shared" si="11"/>
        <v>11</v>
      </c>
      <c r="C11" s="140">
        <v>7</v>
      </c>
      <c r="D11" s="143" t="s">
        <v>20</v>
      </c>
      <c r="E11" s="151">
        <f t="shared" si="12"/>
        <v>7</v>
      </c>
      <c r="F11" s="160">
        <f t="shared" si="12"/>
        <v>42</v>
      </c>
      <c r="G11" s="108">
        <v>7</v>
      </c>
      <c r="H11" s="138" t="s">
        <v>20</v>
      </c>
      <c r="I11" s="161">
        <f t="shared" si="15"/>
        <v>38</v>
      </c>
      <c r="J11" s="149">
        <f>J10+1</f>
        <v>70</v>
      </c>
      <c r="K11" s="108">
        <v>7</v>
      </c>
      <c r="L11" s="138" t="s">
        <v>20</v>
      </c>
      <c r="M11" s="36">
        <f t="shared" ref="M11" si="23">M10+1</f>
        <v>66</v>
      </c>
      <c r="N11" s="139">
        <f t="shared" si="13"/>
        <v>101</v>
      </c>
      <c r="O11" s="140">
        <f t="shared" si="13"/>
        <v>7</v>
      </c>
      <c r="P11" s="143" t="s">
        <v>17</v>
      </c>
      <c r="Q11" s="141">
        <f t="shared" si="0"/>
        <v>97</v>
      </c>
      <c r="R11" s="139">
        <f t="shared" si="0"/>
        <v>131</v>
      </c>
      <c r="S11" s="140">
        <f t="shared" si="0"/>
        <v>7</v>
      </c>
      <c r="T11" s="143" t="s">
        <v>17</v>
      </c>
      <c r="U11" s="141">
        <f t="shared" si="3"/>
        <v>127</v>
      </c>
      <c r="V11" s="35">
        <f t="shared" si="3"/>
        <v>162</v>
      </c>
      <c r="W11" s="147">
        <f t="shared" si="3"/>
        <v>7</v>
      </c>
      <c r="X11" s="138" t="s">
        <v>20</v>
      </c>
      <c r="Y11" s="146">
        <f t="shared" si="4"/>
        <v>158</v>
      </c>
      <c r="Z11" s="37"/>
      <c r="AA11" s="50" t="str">
        <f t="shared" si="5"/>
        <v>NA</v>
      </c>
      <c r="AB11" s="50" t="str">
        <f t="shared" si="6"/>
        <v>NA</v>
      </c>
      <c r="AC11" s="50" t="str">
        <f t="shared" si="7"/>
        <v>NA</v>
      </c>
      <c r="AD11" s="50">
        <f t="shared" si="8"/>
        <v>1</v>
      </c>
      <c r="AE11" s="50">
        <f t="shared" si="9"/>
        <v>1</v>
      </c>
      <c r="AF11" s="50" t="str">
        <f t="shared" si="10"/>
        <v>NA</v>
      </c>
      <c r="AM11" s="46"/>
      <c r="AN11" s="46"/>
      <c r="AO11" s="46"/>
      <c r="AP11" s="46"/>
      <c r="AQ11" s="46"/>
      <c r="AR11" s="46"/>
      <c r="AS11" s="46"/>
      <c r="AT11" s="46"/>
      <c r="AU11" s="46"/>
      <c r="AV11" s="37" t="s">
        <v>20</v>
      </c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</row>
    <row r="12" spans="2:68" s="39" customFormat="1" ht="14.1" customHeight="1">
      <c r="B12" s="93">
        <f t="shared" si="11"/>
        <v>12</v>
      </c>
      <c r="C12" s="125">
        <v>8</v>
      </c>
      <c r="D12" s="124" t="s">
        <v>20</v>
      </c>
      <c r="E12" s="148">
        <f t="shared" si="12"/>
        <v>8</v>
      </c>
      <c r="F12" s="160">
        <f t="shared" si="12"/>
        <v>43</v>
      </c>
      <c r="G12" s="108">
        <v>8</v>
      </c>
      <c r="H12" s="138" t="s">
        <v>20</v>
      </c>
      <c r="I12" s="161">
        <f t="shared" si="15"/>
        <v>39</v>
      </c>
      <c r="J12" s="149">
        <f>J11+1</f>
        <v>71</v>
      </c>
      <c r="K12" s="144">
        <v>8</v>
      </c>
      <c r="L12" s="138" t="s">
        <v>20</v>
      </c>
      <c r="M12" s="36">
        <f t="shared" si="22"/>
        <v>67</v>
      </c>
      <c r="N12" s="139">
        <f t="shared" si="13"/>
        <v>102</v>
      </c>
      <c r="O12" s="140">
        <f t="shared" si="13"/>
        <v>8</v>
      </c>
      <c r="P12" s="142" t="s">
        <v>17</v>
      </c>
      <c r="Q12" s="141">
        <f t="shared" si="0"/>
        <v>98</v>
      </c>
      <c r="R12" s="139">
        <f t="shared" si="0"/>
        <v>132</v>
      </c>
      <c r="S12" s="140">
        <f t="shared" si="0"/>
        <v>8</v>
      </c>
      <c r="T12" s="143" t="s">
        <v>17</v>
      </c>
      <c r="U12" s="141">
        <f t="shared" si="3"/>
        <v>128</v>
      </c>
      <c r="V12" s="139">
        <f t="shared" si="3"/>
        <v>163</v>
      </c>
      <c r="W12" s="140">
        <f>W11+1</f>
        <v>8</v>
      </c>
      <c r="X12" s="143" t="s">
        <v>19</v>
      </c>
      <c r="Y12" s="141">
        <f t="shared" si="4"/>
        <v>159</v>
      </c>
      <c r="Z12" s="37"/>
      <c r="AA12" s="50" t="str">
        <f t="shared" si="5"/>
        <v>NA</v>
      </c>
      <c r="AB12" s="50" t="str">
        <f t="shared" si="6"/>
        <v>NA</v>
      </c>
      <c r="AC12" s="50" t="str">
        <f t="shared" si="7"/>
        <v>NA</v>
      </c>
      <c r="AD12" s="50">
        <f t="shared" si="8"/>
        <v>1</v>
      </c>
      <c r="AE12" s="50">
        <f t="shared" si="9"/>
        <v>1</v>
      </c>
      <c r="AF12" s="50" t="str">
        <f t="shared" si="10"/>
        <v>NA</v>
      </c>
      <c r="AM12" s="46"/>
      <c r="AN12" s="46"/>
      <c r="AO12" s="46"/>
      <c r="AP12" s="46"/>
      <c r="AQ12" s="46"/>
      <c r="AR12" s="46"/>
      <c r="AS12" s="46"/>
      <c r="AT12" s="46"/>
      <c r="AU12" s="46"/>
      <c r="AV12" s="37" t="s">
        <v>1</v>
      </c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</row>
    <row r="13" spans="2:68" s="39" customFormat="1" ht="14.1" customHeight="1">
      <c r="B13" s="93">
        <f t="shared" si="11"/>
        <v>13</v>
      </c>
      <c r="C13" s="125">
        <v>9</v>
      </c>
      <c r="D13" s="124" t="s">
        <v>20</v>
      </c>
      <c r="E13" s="148">
        <f t="shared" si="12"/>
        <v>9</v>
      </c>
      <c r="F13" s="194">
        <f t="shared" si="12"/>
        <v>44</v>
      </c>
      <c r="G13" s="140">
        <v>9</v>
      </c>
      <c r="H13" s="142" t="s">
        <v>20</v>
      </c>
      <c r="I13" s="195">
        <f t="shared" si="15"/>
        <v>40</v>
      </c>
      <c r="J13" s="152">
        <f>J12+1</f>
        <v>72</v>
      </c>
      <c r="K13" s="140">
        <v>9</v>
      </c>
      <c r="L13" s="143" t="s">
        <v>20</v>
      </c>
      <c r="M13" s="141">
        <f t="shared" ref="M13" si="24">M12+1</f>
        <v>68</v>
      </c>
      <c r="N13" s="35">
        <f t="shared" si="13"/>
        <v>103</v>
      </c>
      <c r="O13" s="108">
        <f t="shared" si="13"/>
        <v>9</v>
      </c>
      <c r="P13" s="138" t="s">
        <v>17</v>
      </c>
      <c r="Q13" s="36">
        <f t="shared" si="0"/>
        <v>99</v>
      </c>
      <c r="R13" s="35">
        <f t="shared" si="0"/>
        <v>133</v>
      </c>
      <c r="S13" s="108">
        <f t="shared" si="0"/>
        <v>9</v>
      </c>
      <c r="T13" s="145" t="s">
        <v>20</v>
      </c>
      <c r="U13" s="36">
        <f t="shared" ref="U13" si="25">U12+1</f>
        <v>129</v>
      </c>
      <c r="V13" s="139">
        <f t="shared" si="3"/>
        <v>164</v>
      </c>
      <c r="W13" s="140">
        <f>W12+1</f>
        <v>9</v>
      </c>
      <c r="X13" s="143" t="s">
        <v>17</v>
      </c>
      <c r="Y13" s="141">
        <f t="shared" si="4"/>
        <v>160</v>
      </c>
      <c r="Z13" s="37"/>
      <c r="AA13" s="50" t="str">
        <f t="shared" si="5"/>
        <v>NA</v>
      </c>
      <c r="AB13" s="50" t="str">
        <f t="shared" si="6"/>
        <v>NA</v>
      </c>
      <c r="AC13" s="50" t="str">
        <f t="shared" si="7"/>
        <v>NA</v>
      </c>
      <c r="AD13" s="50">
        <f t="shared" si="8"/>
        <v>1</v>
      </c>
      <c r="AE13" s="50" t="str">
        <f t="shared" si="9"/>
        <v>NA</v>
      </c>
      <c r="AF13" s="50">
        <f t="shared" si="10"/>
        <v>1</v>
      </c>
      <c r="AM13" s="46"/>
      <c r="AN13" s="46"/>
      <c r="AO13" s="46"/>
      <c r="AP13" s="46"/>
      <c r="AQ13" s="46"/>
      <c r="AR13" s="46"/>
      <c r="AS13" s="46"/>
      <c r="AT13" s="46"/>
      <c r="AU13" s="46"/>
      <c r="AV13" s="37" t="s">
        <v>44</v>
      </c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</row>
    <row r="14" spans="2:68" s="39" customFormat="1" ht="14.1" customHeight="1">
      <c r="B14" s="35">
        <f t="shared" si="11"/>
        <v>14</v>
      </c>
      <c r="C14" s="108">
        <v>10</v>
      </c>
      <c r="D14" s="138" t="s">
        <v>20</v>
      </c>
      <c r="E14" s="150">
        <f t="shared" si="12"/>
        <v>10</v>
      </c>
      <c r="F14" s="194">
        <f t="shared" si="12"/>
        <v>45</v>
      </c>
      <c r="G14" s="140">
        <v>10</v>
      </c>
      <c r="H14" s="143" t="s">
        <v>20</v>
      </c>
      <c r="I14" s="195">
        <f t="shared" si="15"/>
        <v>41</v>
      </c>
      <c r="J14" s="152">
        <f>J13+1</f>
        <v>73</v>
      </c>
      <c r="K14" s="140">
        <v>10</v>
      </c>
      <c r="L14" s="143" t="s">
        <v>17</v>
      </c>
      <c r="M14" s="141">
        <f t="shared" si="22"/>
        <v>69</v>
      </c>
      <c r="N14" s="139">
        <f t="shared" si="13"/>
        <v>104</v>
      </c>
      <c r="O14" s="140">
        <f t="shared" si="13"/>
        <v>10</v>
      </c>
      <c r="P14" s="142" t="s">
        <v>17</v>
      </c>
      <c r="Q14" s="141">
        <f t="shared" si="0"/>
        <v>100</v>
      </c>
      <c r="R14" s="35">
        <f t="shared" si="0"/>
        <v>134</v>
      </c>
      <c r="S14" s="108">
        <f t="shared" si="0"/>
        <v>10</v>
      </c>
      <c r="T14" s="138" t="s">
        <v>20</v>
      </c>
      <c r="U14" s="146">
        <f t="shared" ref="U14" si="26">U13+1</f>
        <v>130</v>
      </c>
      <c r="V14" s="139">
        <f t="shared" si="3"/>
        <v>165</v>
      </c>
      <c r="W14" s="140">
        <f>W13+1</f>
        <v>10</v>
      </c>
      <c r="X14" s="142" t="s">
        <v>17</v>
      </c>
      <c r="Y14" s="141">
        <f t="shared" si="4"/>
        <v>161</v>
      </c>
      <c r="Z14" s="37"/>
      <c r="AA14" s="50" t="str">
        <f t="shared" si="5"/>
        <v>NA</v>
      </c>
      <c r="AB14" s="50" t="str">
        <f t="shared" si="6"/>
        <v>NA</v>
      </c>
      <c r="AC14" s="50">
        <f t="shared" si="7"/>
        <v>1</v>
      </c>
      <c r="AD14" s="50">
        <f t="shared" si="8"/>
        <v>1</v>
      </c>
      <c r="AE14" s="50" t="str">
        <f t="shared" si="9"/>
        <v>NA</v>
      </c>
      <c r="AF14" s="50">
        <f t="shared" si="10"/>
        <v>1</v>
      </c>
      <c r="AM14" s="46"/>
      <c r="AN14" s="46"/>
      <c r="AO14" s="46"/>
      <c r="AP14" s="46"/>
      <c r="AQ14" s="46"/>
      <c r="AR14" s="46"/>
      <c r="AS14" s="46"/>
      <c r="AT14" s="46"/>
      <c r="AU14" s="46"/>
      <c r="AV14" s="37" t="s">
        <v>6</v>
      </c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</row>
    <row r="15" spans="2:68" s="39" customFormat="1" ht="14.1" customHeight="1">
      <c r="B15" s="35">
        <f t="shared" si="11"/>
        <v>15</v>
      </c>
      <c r="C15" s="108">
        <v>11</v>
      </c>
      <c r="D15" s="138" t="s">
        <v>20</v>
      </c>
      <c r="E15" s="150">
        <f t="shared" si="12"/>
        <v>11</v>
      </c>
      <c r="F15" s="194">
        <f t="shared" si="12"/>
        <v>46</v>
      </c>
      <c r="G15" s="140">
        <v>11</v>
      </c>
      <c r="H15" s="143" t="s">
        <v>20</v>
      </c>
      <c r="I15" s="195">
        <f t="shared" si="15"/>
        <v>42</v>
      </c>
      <c r="J15" s="152">
        <f t="shared" ref="J15" si="27">J14+1</f>
        <v>74</v>
      </c>
      <c r="K15" s="140">
        <v>11</v>
      </c>
      <c r="L15" s="142" t="s">
        <v>17</v>
      </c>
      <c r="M15" s="141">
        <f t="shared" si="22"/>
        <v>70</v>
      </c>
      <c r="N15" s="35">
        <f t="shared" si="22"/>
        <v>105</v>
      </c>
      <c r="O15" s="108">
        <f t="shared" si="22"/>
        <v>11</v>
      </c>
      <c r="P15" s="138" t="s">
        <v>20</v>
      </c>
      <c r="Q15" s="36">
        <f t="shared" si="0"/>
        <v>101</v>
      </c>
      <c r="R15" s="139">
        <f t="shared" si="0"/>
        <v>135</v>
      </c>
      <c r="S15" s="140">
        <f t="shared" si="0"/>
        <v>11</v>
      </c>
      <c r="T15" s="143" t="s">
        <v>17</v>
      </c>
      <c r="U15" s="141">
        <f t="shared" si="3"/>
        <v>131</v>
      </c>
      <c r="V15" s="139">
        <f t="shared" ref="V15:W15" si="28">V14+1</f>
        <v>166</v>
      </c>
      <c r="W15" s="140">
        <f t="shared" si="28"/>
        <v>11</v>
      </c>
      <c r="X15" s="142" t="s">
        <v>17</v>
      </c>
      <c r="Y15" s="141">
        <f t="shared" si="4"/>
        <v>162</v>
      </c>
      <c r="Z15" s="37"/>
      <c r="AA15" s="50" t="str">
        <f t="shared" si="5"/>
        <v>NA</v>
      </c>
      <c r="AB15" s="50" t="str">
        <f t="shared" si="6"/>
        <v>NA</v>
      </c>
      <c r="AC15" s="50">
        <f t="shared" si="7"/>
        <v>1</v>
      </c>
      <c r="AD15" s="50" t="str">
        <f t="shared" si="8"/>
        <v>NA</v>
      </c>
      <c r="AE15" s="50">
        <f t="shared" si="9"/>
        <v>1</v>
      </c>
      <c r="AF15" s="50">
        <f t="shared" si="10"/>
        <v>1</v>
      </c>
      <c r="AM15" s="46"/>
      <c r="AN15" s="46"/>
      <c r="AO15" s="46"/>
      <c r="AP15" s="46"/>
      <c r="AQ15" s="46"/>
      <c r="AR15" s="46"/>
      <c r="AS15" s="46"/>
      <c r="AT15" s="46"/>
      <c r="AU15" s="46"/>
      <c r="AV15" s="37" t="s">
        <v>2</v>
      </c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</row>
    <row r="16" spans="2:68" s="39" customFormat="1" ht="14.1" customHeight="1">
      <c r="B16" s="139">
        <f t="shared" si="11"/>
        <v>16</v>
      </c>
      <c r="C16" s="140">
        <v>12</v>
      </c>
      <c r="D16" s="142" t="s">
        <v>20</v>
      </c>
      <c r="E16" s="151">
        <f t="shared" si="12"/>
        <v>12</v>
      </c>
      <c r="F16" s="194">
        <f t="shared" si="12"/>
        <v>47</v>
      </c>
      <c r="G16" s="140">
        <v>12</v>
      </c>
      <c r="H16" s="142" t="s">
        <v>20</v>
      </c>
      <c r="I16" s="195">
        <f t="shared" si="15"/>
        <v>43</v>
      </c>
      <c r="J16" s="152">
        <f t="shared" ref="J16" si="29">J15+1</f>
        <v>75</v>
      </c>
      <c r="K16" s="140">
        <v>12</v>
      </c>
      <c r="L16" s="142" t="s">
        <v>17</v>
      </c>
      <c r="M16" s="141">
        <f t="shared" ref="M16:O16" si="30">M15+1</f>
        <v>71</v>
      </c>
      <c r="N16" s="35">
        <f t="shared" si="30"/>
        <v>106</v>
      </c>
      <c r="O16" s="108">
        <f t="shared" si="30"/>
        <v>12</v>
      </c>
      <c r="P16" s="138" t="s">
        <v>20</v>
      </c>
      <c r="Q16" s="36">
        <f t="shared" si="0"/>
        <v>102</v>
      </c>
      <c r="R16" s="139">
        <f t="shared" si="0"/>
        <v>136</v>
      </c>
      <c r="S16" s="140">
        <f t="shared" si="0"/>
        <v>12</v>
      </c>
      <c r="T16" s="143" t="s">
        <v>17</v>
      </c>
      <c r="U16" s="141">
        <f t="shared" si="3"/>
        <v>132</v>
      </c>
      <c r="V16" s="139">
        <f t="shared" ref="V16:W16" si="31">V15+1</f>
        <v>167</v>
      </c>
      <c r="W16" s="140">
        <f t="shared" si="31"/>
        <v>12</v>
      </c>
      <c r="X16" s="142" t="s">
        <v>17</v>
      </c>
      <c r="Y16" s="141">
        <f t="shared" si="4"/>
        <v>163</v>
      </c>
      <c r="Z16" s="37"/>
      <c r="AA16" s="50" t="str">
        <f t="shared" si="5"/>
        <v>NA</v>
      </c>
      <c r="AB16" s="50" t="str">
        <f t="shared" si="6"/>
        <v>NA</v>
      </c>
      <c r="AC16" s="50">
        <f t="shared" si="7"/>
        <v>1</v>
      </c>
      <c r="AD16" s="50" t="str">
        <f t="shared" si="8"/>
        <v>NA</v>
      </c>
      <c r="AE16" s="50">
        <f t="shared" si="9"/>
        <v>1</v>
      </c>
      <c r="AF16" s="50">
        <f t="shared" si="10"/>
        <v>1</v>
      </c>
      <c r="AM16" s="46"/>
      <c r="AN16" s="46"/>
      <c r="AO16" s="46"/>
      <c r="AP16" s="46"/>
      <c r="AQ16" s="46"/>
      <c r="AR16" s="46"/>
      <c r="AS16" s="46"/>
      <c r="AT16" s="46"/>
      <c r="AU16" s="46"/>
      <c r="AV16" s="39" t="s">
        <v>55</v>
      </c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</row>
    <row r="17" spans="2:68" s="39" customFormat="1" ht="14.1" customHeight="1">
      <c r="B17" s="139">
        <f t="shared" si="11"/>
        <v>17</v>
      </c>
      <c r="C17" s="140">
        <v>13</v>
      </c>
      <c r="D17" s="143" t="s">
        <v>20</v>
      </c>
      <c r="E17" s="151">
        <f t="shared" si="12"/>
        <v>13</v>
      </c>
      <c r="F17" s="194">
        <f t="shared" si="12"/>
        <v>48</v>
      </c>
      <c r="G17" s="140">
        <v>13</v>
      </c>
      <c r="H17" s="142" t="s">
        <v>20</v>
      </c>
      <c r="I17" s="195">
        <f t="shared" si="15"/>
        <v>44</v>
      </c>
      <c r="J17" s="152">
        <f t="shared" ref="J17" si="32">J16+1</f>
        <v>76</v>
      </c>
      <c r="K17" s="140">
        <v>13</v>
      </c>
      <c r="L17" s="142" t="s">
        <v>17</v>
      </c>
      <c r="M17" s="141">
        <f t="shared" ref="M17:O17" si="33">M16+1</f>
        <v>72</v>
      </c>
      <c r="N17" s="139">
        <f t="shared" si="33"/>
        <v>107</v>
      </c>
      <c r="O17" s="140">
        <f t="shared" si="33"/>
        <v>13</v>
      </c>
      <c r="P17" s="142" t="s">
        <v>17</v>
      </c>
      <c r="Q17" s="141">
        <f t="shared" ref="Q17" si="34">Q16+1</f>
        <v>103</v>
      </c>
      <c r="R17" s="139">
        <f t="shared" si="0"/>
        <v>137</v>
      </c>
      <c r="S17" s="140">
        <f t="shared" si="0"/>
        <v>13</v>
      </c>
      <c r="T17" s="143" t="s">
        <v>17</v>
      </c>
      <c r="U17" s="141">
        <f t="shared" si="3"/>
        <v>133</v>
      </c>
      <c r="V17" s="35">
        <f t="shared" si="3"/>
        <v>168</v>
      </c>
      <c r="W17" s="108">
        <f t="shared" si="3"/>
        <v>13</v>
      </c>
      <c r="X17" s="138" t="s">
        <v>20</v>
      </c>
      <c r="Y17" s="36">
        <f t="shared" si="4"/>
        <v>164</v>
      </c>
      <c r="Z17" s="37"/>
      <c r="AA17" s="50" t="str">
        <f t="shared" si="5"/>
        <v>NA</v>
      </c>
      <c r="AB17" s="50" t="str">
        <f t="shared" si="6"/>
        <v>NA</v>
      </c>
      <c r="AC17" s="50">
        <f t="shared" si="7"/>
        <v>1</v>
      </c>
      <c r="AD17" s="50">
        <f t="shared" si="8"/>
        <v>1</v>
      </c>
      <c r="AE17" s="50">
        <f t="shared" si="9"/>
        <v>1</v>
      </c>
      <c r="AF17" s="50" t="str">
        <f t="shared" si="10"/>
        <v>NA</v>
      </c>
      <c r="AM17" s="46"/>
      <c r="AN17" s="46"/>
      <c r="AO17" s="46"/>
      <c r="AP17" s="46"/>
      <c r="AQ17" s="46"/>
      <c r="AR17" s="46"/>
      <c r="AS17" s="46"/>
      <c r="AT17" s="46"/>
      <c r="AU17" s="46"/>
      <c r="AV17" s="37" t="s">
        <v>4</v>
      </c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</row>
    <row r="18" spans="2:68" s="39" customFormat="1" ht="14.1" customHeight="1">
      <c r="B18" s="139">
        <f t="shared" si="11"/>
        <v>18</v>
      </c>
      <c r="C18" s="140">
        <v>14</v>
      </c>
      <c r="D18" s="143" t="s">
        <v>20</v>
      </c>
      <c r="E18" s="151">
        <f t="shared" si="12"/>
        <v>14</v>
      </c>
      <c r="F18" s="160">
        <f t="shared" si="12"/>
        <v>49</v>
      </c>
      <c r="G18" s="108">
        <v>14</v>
      </c>
      <c r="H18" s="138" t="s">
        <v>20</v>
      </c>
      <c r="I18" s="161">
        <f t="shared" si="15"/>
        <v>45</v>
      </c>
      <c r="J18" s="149">
        <f t="shared" ref="J18:J23" si="35">J17+1</f>
        <v>77</v>
      </c>
      <c r="K18" s="108">
        <v>14</v>
      </c>
      <c r="L18" s="138" t="s">
        <v>20</v>
      </c>
      <c r="M18" s="36">
        <f t="shared" ref="M18:M23" si="36">M17+1</f>
        <v>73</v>
      </c>
      <c r="N18" s="139">
        <f t="shared" ref="N18:O18" si="37">N17+1</f>
        <v>108</v>
      </c>
      <c r="O18" s="140">
        <f t="shared" si="37"/>
        <v>14</v>
      </c>
      <c r="P18" s="142" t="s">
        <v>17</v>
      </c>
      <c r="Q18" s="141">
        <f t="shared" ref="Q18" si="38">Q17+1</f>
        <v>104</v>
      </c>
      <c r="R18" s="35">
        <f t="shared" si="0"/>
        <v>138</v>
      </c>
      <c r="S18" s="108">
        <f t="shared" si="0"/>
        <v>14</v>
      </c>
      <c r="T18" s="138" t="s">
        <v>94</v>
      </c>
      <c r="U18" s="36">
        <f t="shared" si="3"/>
        <v>134</v>
      </c>
      <c r="V18" s="35">
        <f t="shared" si="3"/>
        <v>169</v>
      </c>
      <c r="W18" s="147">
        <f t="shared" si="3"/>
        <v>14</v>
      </c>
      <c r="X18" s="138" t="s">
        <v>20</v>
      </c>
      <c r="Y18" s="146">
        <f t="shared" si="4"/>
        <v>165</v>
      </c>
      <c r="Z18" s="37"/>
      <c r="AA18" s="50" t="str">
        <f t="shared" si="5"/>
        <v>NA</v>
      </c>
      <c r="AB18" s="50" t="str">
        <f t="shared" si="6"/>
        <v>NA</v>
      </c>
      <c r="AC18" s="50" t="str">
        <f t="shared" si="7"/>
        <v>NA</v>
      </c>
      <c r="AD18" s="50">
        <f t="shared" si="8"/>
        <v>1</v>
      </c>
      <c r="AE18" s="50" t="str">
        <f t="shared" si="9"/>
        <v>NA</v>
      </c>
      <c r="AF18" s="50" t="str">
        <f t="shared" si="10"/>
        <v>NA</v>
      </c>
      <c r="AM18" s="46"/>
      <c r="AN18" s="46"/>
      <c r="AO18" s="46"/>
      <c r="AP18" s="46"/>
      <c r="AQ18" s="46"/>
      <c r="AR18" s="46"/>
      <c r="AS18" s="46"/>
      <c r="AT18" s="46"/>
      <c r="AU18" s="46"/>
      <c r="AV18" s="37" t="s">
        <v>5</v>
      </c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</row>
    <row r="19" spans="2:68" s="39" customFormat="1" ht="14.1" customHeight="1">
      <c r="B19" s="139">
        <f t="shared" si="11"/>
        <v>19</v>
      </c>
      <c r="C19" s="140">
        <v>15</v>
      </c>
      <c r="D19" s="142" t="s">
        <v>20</v>
      </c>
      <c r="E19" s="151">
        <f t="shared" si="12"/>
        <v>15</v>
      </c>
      <c r="F19" s="160">
        <f t="shared" si="12"/>
        <v>50</v>
      </c>
      <c r="G19" s="108">
        <v>15</v>
      </c>
      <c r="H19" s="138" t="s">
        <v>20</v>
      </c>
      <c r="I19" s="161">
        <f t="shared" si="15"/>
        <v>46</v>
      </c>
      <c r="J19" s="149">
        <f>J18+1</f>
        <v>78</v>
      </c>
      <c r="K19" s="108">
        <v>15</v>
      </c>
      <c r="L19" s="138" t="s">
        <v>20</v>
      </c>
      <c r="M19" s="36">
        <f t="shared" si="36"/>
        <v>74</v>
      </c>
      <c r="N19" s="139">
        <f t="shared" si="13"/>
        <v>109</v>
      </c>
      <c r="O19" s="140">
        <f t="shared" si="13"/>
        <v>15</v>
      </c>
      <c r="P19" s="142" t="s">
        <v>17</v>
      </c>
      <c r="Q19" s="141">
        <f t="shared" si="0"/>
        <v>105</v>
      </c>
      <c r="R19" s="139">
        <f t="shared" si="0"/>
        <v>139</v>
      </c>
      <c r="S19" s="140">
        <f t="shared" si="0"/>
        <v>15</v>
      </c>
      <c r="T19" s="142" t="s">
        <v>19</v>
      </c>
      <c r="U19" s="141">
        <f t="shared" si="3"/>
        <v>135</v>
      </c>
      <c r="V19" s="139">
        <f t="shared" si="3"/>
        <v>170</v>
      </c>
      <c r="W19" s="140">
        <f>W18+1</f>
        <v>15</v>
      </c>
      <c r="X19" s="143" t="s">
        <v>17</v>
      </c>
      <c r="Y19" s="141">
        <f t="shared" si="4"/>
        <v>166</v>
      </c>
      <c r="AA19" s="50" t="str">
        <f t="shared" si="5"/>
        <v>NA</v>
      </c>
      <c r="AB19" s="50" t="str">
        <f t="shared" si="6"/>
        <v>NA</v>
      </c>
      <c r="AC19" s="50" t="str">
        <f t="shared" si="7"/>
        <v>NA</v>
      </c>
      <c r="AD19" s="50">
        <f t="shared" si="8"/>
        <v>1</v>
      </c>
      <c r="AE19" s="50" t="str">
        <f t="shared" si="9"/>
        <v>NA</v>
      </c>
      <c r="AF19" s="50">
        <f t="shared" si="10"/>
        <v>1</v>
      </c>
      <c r="AM19" s="46"/>
      <c r="AN19" s="46"/>
      <c r="AO19" s="46"/>
      <c r="AP19" s="46"/>
      <c r="AQ19" s="46"/>
      <c r="AR19" s="46"/>
      <c r="AS19" s="46"/>
      <c r="AT19" s="46"/>
      <c r="AU19" s="46"/>
      <c r="AV19" s="37" t="s">
        <v>7</v>
      </c>
    </row>
    <row r="20" spans="2:68" s="39" customFormat="1" ht="14.1" customHeight="1">
      <c r="B20" s="139">
        <f t="shared" si="11"/>
        <v>20</v>
      </c>
      <c r="C20" s="140">
        <v>16</v>
      </c>
      <c r="D20" s="142" t="s">
        <v>20</v>
      </c>
      <c r="E20" s="151">
        <f t="shared" si="12"/>
        <v>16</v>
      </c>
      <c r="F20" s="194">
        <f t="shared" si="12"/>
        <v>51</v>
      </c>
      <c r="G20" s="140">
        <v>16</v>
      </c>
      <c r="H20" s="142" t="s">
        <v>20</v>
      </c>
      <c r="I20" s="195">
        <f t="shared" si="15"/>
        <v>47</v>
      </c>
      <c r="J20" s="152">
        <f t="shared" si="35"/>
        <v>79</v>
      </c>
      <c r="K20" s="140">
        <v>16</v>
      </c>
      <c r="L20" s="143" t="s">
        <v>17</v>
      </c>
      <c r="M20" s="141">
        <f t="shared" si="36"/>
        <v>75</v>
      </c>
      <c r="N20" s="139">
        <f t="shared" si="13"/>
        <v>110</v>
      </c>
      <c r="O20" s="140">
        <f t="shared" si="13"/>
        <v>16</v>
      </c>
      <c r="P20" s="142" t="s">
        <v>17</v>
      </c>
      <c r="Q20" s="141">
        <f t="shared" si="0"/>
        <v>106</v>
      </c>
      <c r="R20" s="35">
        <f t="shared" si="0"/>
        <v>140</v>
      </c>
      <c r="S20" s="108">
        <f t="shared" si="0"/>
        <v>16</v>
      </c>
      <c r="T20" s="138" t="s">
        <v>20</v>
      </c>
      <c r="U20" s="36">
        <f t="shared" ref="U20" si="39">U19+1</f>
        <v>136</v>
      </c>
      <c r="V20" s="139">
        <f t="shared" si="3"/>
        <v>171</v>
      </c>
      <c r="W20" s="140">
        <f>W19+1</f>
        <v>16</v>
      </c>
      <c r="X20" s="143" t="s">
        <v>17</v>
      </c>
      <c r="Y20" s="141">
        <f t="shared" si="4"/>
        <v>167</v>
      </c>
      <c r="AA20" s="50" t="str">
        <f t="shared" si="5"/>
        <v>NA</v>
      </c>
      <c r="AB20" s="50" t="str">
        <f t="shared" si="6"/>
        <v>NA</v>
      </c>
      <c r="AC20" s="50">
        <f t="shared" si="7"/>
        <v>1</v>
      </c>
      <c r="AD20" s="50">
        <f t="shared" si="8"/>
        <v>1</v>
      </c>
      <c r="AE20" s="50" t="str">
        <f t="shared" si="9"/>
        <v>NA</v>
      </c>
      <c r="AF20" s="50">
        <f t="shared" si="10"/>
        <v>1</v>
      </c>
      <c r="AM20" s="46"/>
      <c r="AN20" s="46"/>
      <c r="AO20" s="46"/>
      <c r="AP20" s="46"/>
      <c r="AQ20" s="46"/>
      <c r="AR20" s="46"/>
      <c r="AS20" s="46"/>
      <c r="AT20" s="46"/>
      <c r="AU20" s="46"/>
      <c r="AV20" s="37" t="s">
        <v>8</v>
      </c>
    </row>
    <row r="21" spans="2:68" s="39" customFormat="1" ht="14.1" customHeight="1">
      <c r="B21" s="35">
        <f t="shared" si="11"/>
        <v>21</v>
      </c>
      <c r="C21" s="108">
        <v>17</v>
      </c>
      <c r="D21" s="138" t="s">
        <v>20</v>
      </c>
      <c r="E21" s="150">
        <f t="shared" si="12"/>
        <v>17</v>
      </c>
      <c r="F21" s="194">
        <f t="shared" si="12"/>
        <v>52</v>
      </c>
      <c r="G21" s="140">
        <v>17</v>
      </c>
      <c r="H21" s="143" t="s">
        <v>20</v>
      </c>
      <c r="I21" s="195">
        <f t="shared" si="15"/>
        <v>48</v>
      </c>
      <c r="J21" s="152">
        <f t="shared" si="35"/>
        <v>80</v>
      </c>
      <c r="K21" s="140">
        <v>17</v>
      </c>
      <c r="L21" s="143" t="s">
        <v>17</v>
      </c>
      <c r="M21" s="141">
        <f t="shared" si="36"/>
        <v>76</v>
      </c>
      <c r="N21" s="139">
        <f t="shared" si="13"/>
        <v>111</v>
      </c>
      <c r="O21" s="140">
        <f t="shared" si="13"/>
        <v>17</v>
      </c>
      <c r="P21" s="142" t="s">
        <v>17</v>
      </c>
      <c r="Q21" s="141">
        <f t="shared" si="0"/>
        <v>107</v>
      </c>
      <c r="R21" s="35">
        <f t="shared" si="0"/>
        <v>141</v>
      </c>
      <c r="S21" s="108">
        <f t="shared" si="0"/>
        <v>17</v>
      </c>
      <c r="T21" s="138" t="s">
        <v>20</v>
      </c>
      <c r="U21" s="146">
        <f t="shared" ref="U21" si="40">U20+1</f>
        <v>137</v>
      </c>
      <c r="V21" s="139">
        <f t="shared" si="3"/>
        <v>172</v>
      </c>
      <c r="W21" s="140">
        <f t="shared" si="3"/>
        <v>17</v>
      </c>
      <c r="X21" s="142" t="s">
        <v>17</v>
      </c>
      <c r="Y21" s="141">
        <f t="shared" si="4"/>
        <v>168</v>
      </c>
      <c r="AA21" s="50" t="str">
        <f t="shared" si="5"/>
        <v>NA</v>
      </c>
      <c r="AB21" s="50" t="str">
        <f>IF(H21="Day",1,IF(H21="1/2 Day",0.5,IF(H21="Day Special",1.2,"NA")))</f>
        <v>NA</v>
      </c>
      <c r="AC21" s="50">
        <f t="shared" si="7"/>
        <v>1</v>
      </c>
      <c r="AD21" s="50">
        <f t="shared" si="8"/>
        <v>1</v>
      </c>
      <c r="AE21" s="50" t="str">
        <f t="shared" si="9"/>
        <v>NA</v>
      </c>
      <c r="AF21" s="50">
        <f t="shared" si="10"/>
        <v>1</v>
      </c>
      <c r="AM21" s="46"/>
      <c r="AN21" s="46"/>
      <c r="AO21" s="46"/>
      <c r="AP21" s="46"/>
      <c r="AQ21" s="46"/>
      <c r="AR21" s="46"/>
      <c r="AS21" s="46"/>
      <c r="AT21" s="46"/>
      <c r="AU21" s="46"/>
      <c r="AV21" s="37" t="s">
        <v>3</v>
      </c>
    </row>
    <row r="22" spans="2:68" s="39" customFormat="1" ht="14.1" customHeight="1">
      <c r="B22" s="35">
        <f t="shared" si="11"/>
        <v>22</v>
      </c>
      <c r="C22" s="108">
        <v>18</v>
      </c>
      <c r="D22" s="138" t="s">
        <v>20</v>
      </c>
      <c r="E22" s="150">
        <f t="shared" si="12"/>
        <v>18</v>
      </c>
      <c r="F22" s="194">
        <f t="shared" si="12"/>
        <v>53</v>
      </c>
      <c r="G22" s="140">
        <v>18</v>
      </c>
      <c r="H22" s="143" t="s">
        <v>20</v>
      </c>
      <c r="I22" s="195">
        <f t="shared" si="15"/>
        <v>49</v>
      </c>
      <c r="J22" s="152">
        <f t="shared" si="35"/>
        <v>81</v>
      </c>
      <c r="K22" s="140">
        <v>18</v>
      </c>
      <c r="L22" s="142" t="s">
        <v>17</v>
      </c>
      <c r="M22" s="141">
        <f t="shared" si="36"/>
        <v>77</v>
      </c>
      <c r="N22" s="35">
        <f t="shared" si="13"/>
        <v>112</v>
      </c>
      <c r="O22" s="108">
        <f t="shared" si="13"/>
        <v>18</v>
      </c>
      <c r="P22" s="138" t="s">
        <v>20</v>
      </c>
      <c r="Q22" s="36">
        <f t="shared" ref="Q22" si="41">Q21+1</f>
        <v>108</v>
      </c>
      <c r="R22" s="139">
        <f t="shared" si="0"/>
        <v>142</v>
      </c>
      <c r="S22" s="140">
        <f t="shared" si="0"/>
        <v>18</v>
      </c>
      <c r="T22" s="143" t="s">
        <v>19</v>
      </c>
      <c r="U22" s="141">
        <f t="shared" si="3"/>
        <v>138</v>
      </c>
      <c r="V22" s="139">
        <f t="shared" si="3"/>
        <v>173</v>
      </c>
      <c r="W22" s="140">
        <f t="shared" si="3"/>
        <v>18</v>
      </c>
      <c r="X22" s="142" t="s">
        <v>17</v>
      </c>
      <c r="Y22" s="141">
        <f t="shared" si="4"/>
        <v>169</v>
      </c>
      <c r="AA22" s="50" t="str">
        <f t="shared" si="5"/>
        <v>NA</v>
      </c>
      <c r="AB22" s="50" t="str">
        <f t="shared" si="6"/>
        <v>NA</v>
      </c>
      <c r="AC22" s="50">
        <f t="shared" si="7"/>
        <v>1</v>
      </c>
      <c r="AD22" s="50" t="str">
        <f t="shared" si="8"/>
        <v>NA</v>
      </c>
      <c r="AE22" s="50" t="str">
        <f t="shared" si="9"/>
        <v>NA</v>
      </c>
      <c r="AF22" s="50">
        <f t="shared" si="10"/>
        <v>1</v>
      </c>
      <c r="AM22" s="46"/>
      <c r="AN22" s="46"/>
      <c r="AO22" s="46"/>
      <c r="AP22" s="46"/>
      <c r="AQ22" s="46"/>
      <c r="AR22" s="46"/>
      <c r="AS22" s="46"/>
      <c r="AT22" s="46"/>
      <c r="AU22" s="46"/>
      <c r="AV22" s="37" t="s">
        <v>16</v>
      </c>
    </row>
    <row r="23" spans="2:68" s="39" customFormat="1" ht="14.1" customHeight="1">
      <c r="B23" s="139">
        <f t="shared" si="11"/>
        <v>23</v>
      </c>
      <c r="C23" s="140">
        <v>19</v>
      </c>
      <c r="D23" s="142" t="s">
        <v>20</v>
      </c>
      <c r="E23" s="151">
        <f t="shared" si="12"/>
        <v>19</v>
      </c>
      <c r="F23" s="194">
        <f t="shared" si="12"/>
        <v>54</v>
      </c>
      <c r="G23" s="140">
        <v>19</v>
      </c>
      <c r="H23" s="142" t="s">
        <v>20</v>
      </c>
      <c r="I23" s="195">
        <f t="shared" si="15"/>
        <v>50</v>
      </c>
      <c r="J23" s="152">
        <f t="shared" si="35"/>
        <v>82</v>
      </c>
      <c r="K23" s="140">
        <v>19</v>
      </c>
      <c r="L23" s="142" t="s">
        <v>17</v>
      </c>
      <c r="M23" s="141">
        <f t="shared" si="36"/>
        <v>78</v>
      </c>
      <c r="N23" s="35">
        <f t="shared" ref="N23:O23" si="42">N22+1</f>
        <v>113</v>
      </c>
      <c r="O23" s="108">
        <f t="shared" si="42"/>
        <v>19</v>
      </c>
      <c r="P23" s="138" t="s">
        <v>20</v>
      </c>
      <c r="Q23" s="36">
        <f t="shared" ref="Q23" si="43">Q22+1</f>
        <v>109</v>
      </c>
      <c r="R23" s="139">
        <f t="shared" si="0"/>
        <v>143</v>
      </c>
      <c r="S23" s="140">
        <f t="shared" si="0"/>
        <v>19</v>
      </c>
      <c r="T23" s="143" t="s">
        <v>17</v>
      </c>
      <c r="U23" s="141">
        <f t="shared" si="3"/>
        <v>139</v>
      </c>
      <c r="V23" s="139">
        <f t="shared" si="3"/>
        <v>174</v>
      </c>
      <c r="W23" s="140">
        <f t="shared" si="3"/>
        <v>19</v>
      </c>
      <c r="X23" s="142" t="s">
        <v>17</v>
      </c>
      <c r="Y23" s="141">
        <f t="shared" si="4"/>
        <v>170</v>
      </c>
      <c r="AA23" s="50" t="str">
        <f t="shared" si="5"/>
        <v>NA</v>
      </c>
      <c r="AB23" s="50" t="str">
        <f t="shared" si="6"/>
        <v>NA</v>
      </c>
      <c r="AC23" s="50">
        <f t="shared" si="7"/>
        <v>1</v>
      </c>
      <c r="AD23" s="50" t="str">
        <f t="shared" si="8"/>
        <v>NA</v>
      </c>
      <c r="AE23" s="50">
        <f t="shared" si="9"/>
        <v>1</v>
      </c>
      <c r="AF23" s="50">
        <f t="shared" si="10"/>
        <v>1</v>
      </c>
      <c r="AM23" s="46"/>
      <c r="AN23" s="46"/>
      <c r="AO23" s="46"/>
      <c r="AP23" s="46"/>
      <c r="AQ23" s="46"/>
      <c r="AR23" s="46"/>
      <c r="AS23" s="46"/>
      <c r="AT23" s="46"/>
      <c r="AU23" s="46"/>
      <c r="AV23" s="37" t="s">
        <v>45</v>
      </c>
    </row>
    <row r="24" spans="2:68" s="39" customFormat="1" ht="14.1" customHeight="1">
      <c r="B24" s="139">
        <f t="shared" si="11"/>
        <v>24</v>
      </c>
      <c r="C24" s="140">
        <v>20</v>
      </c>
      <c r="D24" s="143" t="s">
        <v>20</v>
      </c>
      <c r="E24" s="151">
        <f t="shared" si="12"/>
        <v>20</v>
      </c>
      <c r="F24" s="194">
        <f t="shared" si="12"/>
        <v>55</v>
      </c>
      <c r="G24" s="140">
        <v>20</v>
      </c>
      <c r="H24" s="142" t="s">
        <v>20</v>
      </c>
      <c r="I24" s="195">
        <f t="shared" si="15"/>
        <v>51</v>
      </c>
      <c r="J24" s="152">
        <f t="shared" ref="J24" si="44">J23+1</f>
        <v>83</v>
      </c>
      <c r="K24" s="140">
        <v>20</v>
      </c>
      <c r="L24" s="142" t="s">
        <v>17</v>
      </c>
      <c r="M24" s="141">
        <f t="shared" ref="M24" si="45">M23+1</f>
        <v>79</v>
      </c>
      <c r="N24" s="139">
        <f t="shared" si="13"/>
        <v>114</v>
      </c>
      <c r="O24" s="140">
        <f t="shared" si="13"/>
        <v>20</v>
      </c>
      <c r="P24" s="143" t="s">
        <v>17</v>
      </c>
      <c r="Q24" s="141">
        <f t="shared" si="0"/>
        <v>110</v>
      </c>
      <c r="R24" s="139">
        <f t="shared" si="0"/>
        <v>144</v>
      </c>
      <c r="S24" s="140">
        <f t="shared" si="0"/>
        <v>20</v>
      </c>
      <c r="T24" s="143" t="s">
        <v>17</v>
      </c>
      <c r="U24" s="141">
        <f t="shared" si="3"/>
        <v>140</v>
      </c>
      <c r="V24" s="35">
        <f t="shared" si="3"/>
        <v>175</v>
      </c>
      <c r="W24" s="108">
        <f t="shared" si="3"/>
        <v>20</v>
      </c>
      <c r="X24" s="138" t="s">
        <v>20</v>
      </c>
      <c r="Y24" s="36">
        <f t="shared" si="4"/>
        <v>171</v>
      </c>
      <c r="AA24" s="50" t="str">
        <f t="shared" si="5"/>
        <v>NA</v>
      </c>
      <c r="AB24" s="50" t="str">
        <f t="shared" si="6"/>
        <v>NA</v>
      </c>
      <c r="AC24" s="50">
        <f t="shared" si="7"/>
        <v>1</v>
      </c>
      <c r="AD24" s="50">
        <f t="shared" si="8"/>
        <v>1</v>
      </c>
      <c r="AE24" s="50">
        <f t="shared" si="9"/>
        <v>1</v>
      </c>
      <c r="AF24" s="50" t="str">
        <f t="shared" si="10"/>
        <v>NA</v>
      </c>
      <c r="AM24" s="46"/>
      <c r="AN24" s="46"/>
      <c r="AO24" s="46"/>
      <c r="AP24" s="46"/>
      <c r="AQ24" s="46"/>
      <c r="AR24" s="46"/>
      <c r="AS24" s="46"/>
      <c r="AT24" s="46"/>
      <c r="AU24" s="46"/>
      <c r="AV24" s="37" t="s">
        <v>15</v>
      </c>
    </row>
    <row r="25" spans="2:68" s="39" customFormat="1" ht="14.1" customHeight="1">
      <c r="B25" s="139">
        <f t="shared" si="11"/>
        <v>25</v>
      </c>
      <c r="C25" s="140">
        <v>21</v>
      </c>
      <c r="D25" s="143" t="s">
        <v>20</v>
      </c>
      <c r="E25" s="151">
        <f t="shared" si="12"/>
        <v>21</v>
      </c>
      <c r="F25" s="160">
        <f t="shared" si="12"/>
        <v>56</v>
      </c>
      <c r="G25" s="108">
        <v>21</v>
      </c>
      <c r="H25" s="138" t="s">
        <v>20</v>
      </c>
      <c r="I25" s="161">
        <f t="shared" si="15"/>
        <v>52</v>
      </c>
      <c r="J25" s="149">
        <f>J24+1</f>
        <v>84</v>
      </c>
      <c r="K25" s="108">
        <v>21</v>
      </c>
      <c r="L25" s="138" t="s">
        <v>20</v>
      </c>
      <c r="M25" s="36">
        <f>M24+1</f>
        <v>80</v>
      </c>
      <c r="N25" s="139">
        <f t="shared" si="13"/>
        <v>115</v>
      </c>
      <c r="O25" s="140">
        <f t="shared" si="13"/>
        <v>21</v>
      </c>
      <c r="P25" s="143" t="s">
        <v>17</v>
      </c>
      <c r="Q25" s="141">
        <f t="shared" si="0"/>
        <v>111</v>
      </c>
      <c r="R25" s="139">
        <f t="shared" si="0"/>
        <v>145</v>
      </c>
      <c r="S25" s="140">
        <f t="shared" si="0"/>
        <v>21</v>
      </c>
      <c r="T25" s="142" t="s">
        <v>17</v>
      </c>
      <c r="U25" s="141">
        <f t="shared" si="3"/>
        <v>141</v>
      </c>
      <c r="V25" s="35">
        <f t="shared" si="3"/>
        <v>176</v>
      </c>
      <c r="W25" s="108">
        <f t="shared" si="3"/>
        <v>21</v>
      </c>
      <c r="X25" s="138" t="s">
        <v>20</v>
      </c>
      <c r="Y25" s="146">
        <f t="shared" si="4"/>
        <v>172</v>
      </c>
      <c r="AA25" s="50" t="str">
        <f t="shared" si="5"/>
        <v>NA</v>
      </c>
      <c r="AB25" s="50" t="str">
        <f t="shared" si="6"/>
        <v>NA</v>
      </c>
      <c r="AC25" s="50" t="str">
        <f t="shared" si="7"/>
        <v>NA</v>
      </c>
      <c r="AD25" s="50">
        <f t="shared" si="8"/>
        <v>1</v>
      </c>
      <c r="AE25" s="50">
        <f t="shared" si="9"/>
        <v>1</v>
      </c>
      <c r="AF25" s="50" t="str">
        <f t="shared" si="10"/>
        <v>NA</v>
      </c>
      <c r="AM25" s="46"/>
      <c r="AN25" s="46"/>
      <c r="AO25" s="46"/>
      <c r="AP25" s="46"/>
      <c r="AQ25" s="46"/>
      <c r="AR25" s="46"/>
      <c r="AS25" s="46"/>
      <c r="AT25" s="46"/>
      <c r="AU25" s="46"/>
      <c r="AV25" s="37" t="s">
        <v>94</v>
      </c>
    </row>
    <row r="26" spans="2:68" s="39" customFormat="1" ht="14.1" customHeight="1">
      <c r="B26" s="139">
        <f t="shared" si="11"/>
        <v>26</v>
      </c>
      <c r="C26" s="140">
        <v>22</v>
      </c>
      <c r="D26" s="142" t="s">
        <v>20</v>
      </c>
      <c r="E26" s="151">
        <f t="shared" si="12"/>
        <v>22</v>
      </c>
      <c r="F26" s="160">
        <f t="shared" si="12"/>
        <v>57</v>
      </c>
      <c r="G26" s="108">
        <v>22</v>
      </c>
      <c r="H26" s="138" t="s">
        <v>20</v>
      </c>
      <c r="I26" s="161">
        <f t="shared" si="15"/>
        <v>53</v>
      </c>
      <c r="J26" s="149">
        <f>J25+1</f>
        <v>85</v>
      </c>
      <c r="K26" s="108">
        <v>22</v>
      </c>
      <c r="L26" s="138" t="s">
        <v>20</v>
      </c>
      <c r="M26" s="36">
        <f>M25+1</f>
        <v>81</v>
      </c>
      <c r="N26" s="139">
        <f t="shared" si="13"/>
        <v>116</v>
      </c>
      <c r="O26" s="140">
        <f t="shared" si="13"/>
        <v>22</v>
      </c>
      <c r="P26" s="143" t="s">
        <v>17</v>
      </c>
      <c r="Q26" s="141">
        <f t="shared" si="0"/>
        <v>112</v>
      </c>
      <c r="R26" s="139">
        <f t="shared" si="0"/>
        <v>146</v>
      </c>
      <c r="S26" s="140">
        <f t="shared" si="0"/>
        <v>22</v>
      </c>
      <c r="T26" s="142" t="s">
        <v>17</v>
      </c>
      <c r="U26" s="141">
        <f t="shared" si="3"/>
        <v>142</v>
      </c>
      <c r="V26" s="139">
        <f t="shared" si="3"/>
        <v>177</v>
      </c>
      <c r="W26" s="140">
        <f>W25+1</f>
        <v>22</v>
      </c>
      <c r="X26" s="143" t="s">
        <v>17</v>
      </c>
      <c r="Y26" s="141">
        <f t="shared" si="4"/>
        <v>173</v>
      </c>
      <c r="AA26" s="50" t="str">
        <f t="shared" si="5"/>
        <v>NA</v>
      </c>
      <c r="AB26" s="50" t="str">
        <f t="shared" si="6"/>
        <v>NA</v>
      </c>
      <c r="AC26" s="50" t="str">
        <f t="shared" si="7"/>
        <v>NA</v>
      </c>
      <c r="AD26" s="50">
        <f t="shared" si="8"/>
        <v>1</v>
      </c>
      <c r="AE26" s="50">
        <f t="shared" si="9"/>
        <v>1</v>
      </c>
      <c r="AF26" s="50">
        <f t="shared" si="10"/>
        <v>1</v>
      </c>
      <c r="AM26" s="46"/>
      <c r="AN26" s="46"/>
      <c r="AO26" s="46"/>
      <c r="AP26" s="46"/>
      <c r="AQ26" s="46"/>
      <c r="AR26" s="46"/>
      <c r="AS26" s="46"/>
      <c r="AT26" s="46"/>
      <c r="AU26" s="46"/>
      <c r="AV26" s="37" t="s">
        <v>82</v>
      </c>
    </row>
    <row r="27" spans="2:68" s="39" customFormat="1" ht="14.1" customHeight="1">
      <c r="B27" s="139">
        <f t="shared" si="11"/>
        <v>27</v>
      </c>
      <c r="C27" s="140">
        <v>23</v>
      </c>
      <c r="D27" s="142" t="s">
        <v>20</v>
      </c>
      <c r="E27" s="151">
        <f t="shared" si="12"/>
        <v>23</v>
      </c>
      <c r="F27" s="194">
        <f t="shared" si="12"/>
        <v>58</v>
      </c>
      <c r="G27" s="140">
        <v>23</v>
      </c>
      <c r="H27" s="142" t="s">
        <v>20</v>
      </c>
      <c r="I27" s="195">
        <f t="shared" si="15"/>
        <v>54</v>
      </c>
      <c r="J27" s="152">
        <f>J26+1</f>
        <v>86</v>
      </c>
      <c r="K27" s="140">
        <v>23</v>
      </c>
      <c r="L27" s="143" t="s">
        <v>17</v>
      </c>
      <c r="M27" s="141">
        <f>M26+1</f>
        <v>82</v>
      </c>
      <c r="N27" s="139">
        <f t="shared" si="13"/>
        <v>117</v>
      </c>
      <c r="O27" s="140">
        <f t="shared" si="13"/>
        <v>23</v>
      </c>
      <c r="P27" s="143" t="s">
        <v>17</v>
      </c>
      <c r="Q27" s="141">
        <f t="shared" si="0"/>
        <v>113</v>
      </c>
      <c r="R27" s="35">
        <f t="shared" si="0"/>
        <v>147</v>
      </c>
      <c r="S27" s="108">
        <f t="shared" si="0"/>
        <v>23</v>
      </c>
      <c r="T27" s="138" t="s">
        <v>20</v>
      </c>
      <c r="U27" s="36">
        <f t="shared" ref="U27" si="46">U26+1</f>
        <v>143</v>
      </c>
      <c r="V27" s="139">
        <f t="shared" si="3"/>
        <v>178</v>
      </c>
      <c r="W27" s="140">
        <f>W26+1</f>
        <v>23</v>
      </c>
      <c r="X27" s="143" t="s">
        <v>17</v>
      </c>
      <c r="Y27" s="141">
        <f t="shared" si="4"/>
        <v>174</v>
      </c>
      <c r="AA27" s="50" t="str">
        <f t="shared" si="5"/>
        <v>NA</v>
      </c>
      <c r="AB27" s="50" t="str">
        <f t="shared" si="6"/>
        <v>NA</v>
      </c>
      <c r="AC27" s="50">
        <f t="shared" si="7"/>
        <v>1</v>
      </c>
      <c r="AD27" s="50">
        <f t="shared" si="8"/>
        <v>1</v>
      </c>
      <c r="AE27" s="50" t="str">
        <f t="shared" si="9"/>
        <v>NA</v>
      </c>
      <c r="AF27" s="50">
        <f t="shared" si="10"/>
        <v>1</v>
      </c>
      <c r="AM27" s="46"/>
      <c r="AN27" s="46"/>
      <c r="AO27" s="46"/>
      <c r="AP27" s="46"/>
      <c r="AQ27" s="46"/>
      <c r="AR27" s="46"/>
      <c r="AS27" s="46"/>
      <c r="AT27" s="46"/>
      <c r="AU27" s="46"/>
      <c r="AV27" s="39" t="s">
        <v>92</v>
      </c>
    </row>
    <row r="28" spans="2:68" s="39" customFormat="1" ht="14.1" customHeight="1">
      <c r="B28" s="35">
        <f t="shared" si="11"/>
        <v>28</v>
      </c>
      <c r="C28" s="108">
        <v>24</v>
      </c>
      <c r="D28" s="138" t="s">
        <v>20</v>
      </c>
      <c r="E28" s="150">
        <f t="shared" si="12"/>
        <v>24</v>
      </c>
      <c r="F28" s="194">
        <f t="shared" si="12"/>
        <v>59</v>
      </c>
      <c r="G28" s="140">
        <v>24</v>
      </c>
      <c r="H28" s="143" t="s">
        <v>20</v>
      </c>
      <c r="I28" s="195">
        <f t="shared" si="15"/>
        <v>55</v>
      </c>
      <c r="J28" s="152">
        <f>J27+1</f>
        <v>87</v>
      </c>
      <c r="K28" s="140">
        <v>24</v>
      </c>
      <c r="L28" s="143" t="s">
        <v>17</v>
      </c>
      <c r="M28" s="141">
        <f>M27+1</f>
        <v>83</v>
      </c>
      <c r="N28" s="139">
        <f t="shared" si="13"/>
        <v>118</v>
      </c>
      <c r="O28" s="140">
        <f t="shared" si="13"/>
        <v>24</v>
      </c>
      <c r="P28" s="143" t="s">
        <v>17</v>
      </c>
      <c r="Q28" s="141">
        <f t="shared" si="0"/>
        <v>114</v>
      </c>
      <c r="R28" s="35">
        <f t="shared" si="0"/>
        <v>148</v>
      </c>
      <c r="S28" s="108">
        <f t="shared" si="0"/>
        <v>24</v>
      </c>
      <c r="T28" s="138" t="s">
        <v>20</v>
      </c>
      <c r="U28" s="36">
        <f t="shared" ref="U28" si="47">U27+1</f>
        <v>144</v>
      </c>
      <c r="V28" s="139">
        <f t="shared" si="3"/>
        <v>179</v>
      </c>
      <c r="W28" s="140">
        <f t="shared" si="3"/>
        <v>24</v>
      </c>
      <c r="X28" s="142" t="s">
        <v>17</v>
      </c>
      <c r="Y28" s="141">
        <f t="shared" si="4"/>
        <v>175</v>
      </c>
      <c r="AA28" s="50" t="str">
        <f t="shared" si="5"/>
        <v>NA</v>
      </c>
      <c r="AB28" s="50" t="str">
        <f t="shared" si="6"/>
        <v>NA</v>
      </c>
      <c r="AC28" s="50">
        <f t="shared" si="7"/>
        <v>1</v>
      </c>
      <c r="AD28" s="50">
        <f t="shared" si="8"/>
        <v>1</v>
      </c>
      <c r="AE28" s="50" t="str">
        <f t="shared" si="9"/>
        <v>NA</v>
      </c>
      <c r="AF28" s="50">
        <f t="shared" si="10"/>
        <v>1</v>
      </c>
      <c r="AM28" s="46"/>
      <c r="AN28" s="46"/>
      <c r="AO28" s="46"/>
      <c r="AP28" s="46"/>
      <c r="AQ28" s="46"/>
      <c r="AR28" s="46"/>
      <c r="AS28" s="46"/>
      <c r="AT28" s="46"/>
      <c r="AU28" s="46"/>
    </row>
    <row r="29" spans="2:68" s="39" customFormat="1" ht="14.1" customHeight="1">
      <c r="B29" s="35">
        <f t="shared" si="11"/>
        <v>29</v>
      </c>
      <c r="C29" s="108">
        <v>25</v>
      </c>
      <c r="D29" s="138" t="s">
        <v>20</v>
      </c>
      <c r="E29" s="150">
        <f t="shared" si="12"/>
        <v>25</v>
      </c>
      <c r="F29" s="194">
        <f t="shared" si="12"/>
        <v>60</v>
      </c>
      <c r="G29" s="140">
        <v>25</v>
      </c>
      <c r="H29" s="143" t="s">
        <v>20</v>
      </c>
      <c r="I29" s="195">
        <f t="shared" si="15"/>
        <v>56</v>
      </c>
      <c r="J29" s="152">
        <f t="shared" ref="J29:J33" si="48">J28+1</f>
        <v>88</v>
      </c>
      <c r="K29" s="140">
        <v>25</v>
      </c>
      <c r="L29" s="142" t="s">
        <v>17</v>
      </c>
      <c r="M29" s="141">
        <f t="shared" ref="M29:O29" si="49">M28+1</f>
        <v>84</v>
      </c>
      <c r="N29" s="35">
        <f t="shared" si="49"/>
        <v>119</v>
      </c>
      <c r="O29" s="108">
        <f t="shared" si="49"/>
        <v>25</v>
      </c>
      <c r="P29" s="138" t="s">
        <v>20</v>
      </c>
      <c r="Q29" s="36">
        <f t="shared" si="0"/>
        <v>115</v>
      </c>
      <c r="R29" s="35">
        <f t="shared" si="0"/>
        <v>149</v>
      </c>
      <c r="S29" s="108">
        <f t="shared" si="0"/>
        <v>25</v>
      </c>
      <c r="T29" s="145" t="s">
        <v>8</v>
      </c>
      <c r="U29" s="36">
        <f t="shared" si="3"/>
        <v>145</v>
      </c>
      <c r="V29" s="139">
        <f t="shared" ref="V29:W29" si="50">V28+1</f>
        <v>180</v>
      </c>
      <c r="W29" s="140">
        <f t="shared" si="50"/>
        <v>25</v>
      </c>
      <c r="X29" s="142" t="s">
        <v>17</v>
      </c>
      <c r="Y29" s="141">
        <f t="shared" si="4"/>
        <v>176</v>
      </c>
      <c r="AA29" s="50" t="str">
        <f t="shared" si="5"/>
        <v>NA</v>
      </c>
      <c r="AB29" s="50" t="str">
        <f t="shared" si="6"/>
        <v>NA</v>
      </c>
      <c r="AC29" s="50">
        <f t="shared" si="7"/>
        <v>1</v>
      </c>
      <c r="AD29" s="50" t="str">
        <f t="shared" si="8"/>
        <v>NA</v>
      </c>
      <c r="AE29" s="50" t="str">
        <f t="shared" si="9"/>
        <v>NA</v>
      </c>
      <c r="AF29" s="50">
        <f t="shared" si="10"/>
        <v>1</v>
      </c>
      <c r="AM29" s="46"/>
      <c r="AN29" s="46"/>
      <c r="AO29" s="46"/>
      <c r="AP29" s="46"/>
      <c r="AQ29" s="46"/>
      <c r="AR29" s="46"/>
      <c r="AS29" s="46"/>
      <c r="AT29" s="46"/>
      <c r="AU29" s="46"/>
      <c r="AV29" s="78" t="s">
        <v>50</v>
      </c>
    </row>
    <row r="30" spans="2:68" s="39" customFormat="1" ht="14.1" customHeight="1">
      <c r="B30" s="139">
        <f t="shared" si="11"/>
        <v>30</v>
      </c>
      <c r="C30" s="140">
        <v>26</v>
      </c>
      <c r="D30" s="142" t="s">
        <v>20</v>
      </c>
      <c r="E30" s="151">
        <f t="shared" si="12"/>
        <v>26</v>
      </c>
      <c r="F30" s="194">
        <f t="shared" si="12"/>
        <v>61</v>
      </c>
      <c r="G30" s="140">
        <v>26</v>
      </c>
      <c r="H30" s="142" t="s">
        <v>20</v>
      </c>
      <c r="I30" s="195">
        <f t="shared" si="15"/>
        <v>57</v>
      </c>
      <c r="J30" s="152">
        <f t="shared" si="48"/>
        <v>89</v>
      </c>
      <c r="K30" s="140">
        <v>26</v>
      </c>
      <c r="L30" s="142" t="s">
        <v>17</v>
      </c>
      <c r="M30" s="141">
        <f t="shared" ref="M30:O30" si="51">M29+1</f>
        <v>85</v>
      </c>
      <c r="N30" s="35">
        <f t="shared" si="51"/>
        <v>120</v>
      </c>
      <c r="O30" s="108">
        <f t="shared" si="51"/>
        <v>26</v>
      </c>
      <c r="P30" s="138" t="s">
        <v>20</v>
      </c>
      <c r="Q30" s="146">
        <f t="shared" si="0"/>
        <v>116</v>
      </c>
      <c r="R30" s="139">
        <f t="shared" si="0"/>
        <v>150</v>
      </c>
      <c r="S30" s="140">
        <f t="shared" si="0"/>
        <v>26</v>
      </c>
      <c r="T30" s="143" t="s">
        <v>20</v>
      </c>
      <c r="U30" s="141">
        <f t="shared" si="3"/>
        <v>146</v>
      </c>
      <c r="V30" s="139">
        <f t="shared" ref="V30:W30" si="52">V29+1</f>
        <v>181</v>
      </c>
      <c r="W30" s="140">
        <f t="shared" si="52"/>
        <v>26</v>
      </c>
      <c r="X30" s="142" t="s">
        <v>17</v>
      </c>
      <c r="Y30" s="141">
        <f t="shared" si="4"/>
        <v>177</v>
      </c>
      <c r="AA30" s="50" t="str">
        <f t="shared" si="5"/>
        <v>NA</v>
      </c>
      <c r="AB30" s="50" t="str">
        <f t="shared" si="6"/>
        <v>NA</v>
      </c>
      <c r="AC30" s="50">
        <f t="shared" si="7"/>
        <v>1</v>
      </c>
      <c r="AD30" s="50" t="str">
        <f t="shared" si="8"/>
        <v>NA</v>
      </c>
      <c r="AE30" s="50" t="str">
        <f t="shared" si="9"/>
        <v>NA</v>
      </c>
      <c r="AF30" s="50">
        <f t="shared" si="10"/>
        <v>1</v>
      </c>
      <c r="AM30" s="46"/>
      <c r="AN30" s="46"/>
      <c r="AO30" s="46"/>
      <c r="AP30" s="46"/>
      <c r="AQ30" s="46"/>
      <c r="AR30" s="46"/>
      <c r="AS30" s="46"/>
      <c r="AT30" s="46"/>
      <c r="AU30" s="46"/>
      <c r="AV30" s="77" t="s">
        <v>84</v>
      </c>
    </row>
    <row r="31" spans="2:68" s="39" customFormat="1" ht="14.1" customHeight="1">
      <c r="B31" s="139">
        <f t="shared" si="11"/>
        <v>31</v>
      </c>
      <c r="C31" s="140">
        <v>27</v>
      </c>
      <c r="D31" s="143" t="s">
        <v>20</v>
      </c>
      <c r="E31" s="151">
        <f t="shared" si="12"/>
        <v>27</v>
      </c>
      <c r="F31" s="194">
        <f t="shared" si="12"/>
        <v>62</v>
      </c>
      <c r="G31" s="140">
        <v>27</v>
      </c>
      <c r="H31" s="142" t="s">
        <v>20</v>
      </c>
      <c r="I31" s="195">
        <f>I30+1</f>
        <v>58</v>
      </c>
      <c r="J31" s="152">
        <f t="shared" si="48"/>
        <v>90</v>
      </c>
      <c r="K31" s="140">
        <v>27</v>
      </c>
      <c r="L31" s="142" t="s">
        <v>17</v>
      </c>
      <c r="M31" s="141">
        <f>M30+1</f>
        <v>86</v>
      </c>
      <c r="N31" s="139">
        <f t="shared" si="13"/>
        <v>121</v>
      </c>
      <c r="O31" s="140">
        <f t="shared" si="13"/>
        <v>27</v>
      </c>
      <c r="P31" s="143" t="s">
        <v>17</v>
      </c>
      <c r="Q31" s="141">
        <f t="shared" si="0"/>
        <v>117</v>
      </c>
      <c r="R31" s="139">
        <f t="shared" si="0"/>
        <v>151</v>
      </c>
      <c r="S31" s="140">
        <f t="shared" si="0"/>
        <v>27</v>
      </c>
      <c r="T31" s="142" t="s">
        <v>20</v>
      </c>
      <c r="U31" s="141">
        <f t="shared" si="3"/>
        <v>147</v>
      </c>
      <c r="V31" s="35">
        <f t="shared" si="3"/>
        <v>182</v>
      </c>
      <c r="W31" s="108">
        <f t="shared" si="3"/>
        <v>27</v>
      </c>
      <c r="X31" s="138" t="s">
        <v>20</v>
      </c>
      <c r="Y31" s="36">
        <f t="shared" si="4"/>
        <v>178</v>
      </c>
      <c r="AA31" s="50" t="str">
        <f t="shared" si="5"/>
        <v>NA</v>
      </c>
      <c r="AB31" s="50" t="str">
        <f t="shared" si="6"/>
        <v>NA</v>
      </c>
      <c r="AC31" s="50">
        <f t="shared" si="7"/>
        <v>1</v>
      </c>
      <c r="AD31" s="50">
        <f t="shared" si="8"/>
        <v>1</v>
      </c>
      <c r="AE31" s="50" t="str">
        <f t="shared" si="9"/>
        <v>NA</v>
      </c>
      <c r="AF31" s="50" t="str">
        <f t="shared" si="10"/>
        <v>NA</v>
      </c>
      <c r="AM31" s="46"/>
      <c r="AN31" s="46"/>
      <c r="AO31" s="46"/>
      <c r="AP31" s="46"/>
      <c r="AQ31" s="46"/>
      <c r="AR31" s="46"/>
      <c r="AS31" s="46"/>
      <c r="AT31" s="46"/>
      <c r="AU31" s="46"/>
      <c r="AV31" s="77" t="s">
        <v>73</v>
      </c>
    </row>
    <row r="32" spans="2:68" s="39" customFormat="1" ht="14.1" customHeight="1">
      <c r="B32" s="139">
        <f t="shared" si="11"/>
        <v>32</v>
      </c>
      <c r="C32" s="140">
        <v>28</v>
      </c>
      <c r="D32" s="143" t="s">
        <v>20</v>
      </c>
      <c r="E32" s="151">
        <f t="shared" si="12"/>
        <v>28</v>
      </c>
      <c r="F32" s="160">
        <f t="shared" si="12"/>
        <v>63</v>
      </c>
      <c r="G32" s="108">
        <v>28</v>
      </c>
      <c r="H32" s="138" t="s">
        <v>20</v>
      </c>
      <c r="I32" s="161">
        <f>I31+1</f>
        <v>59</v>
      </c>
      <c r="J32" s="149">
        <f t="shared" si="48"/>
        <v>91</v>
      </c>
      <c r="K32" s="108">
        <v>28</v>
      </c>
      <c r="L32" s="138" t="s">
        <v>20</v>
      </c>
      <c r="M32" s="36">
        <f>M31+1</f>
        <v>87</v>
      </c>
      <c r="N32" s="139">
        <f t="shared" si="13"/>
        <v>122</v>
      </c>
      <c r="O32" s="140">
        <f t="shared" si="13"/>
        <v>28</v>
      </c>
      <c r="P32" s="143" t="s">
        <v>17</v>
      </c>
      <c r="Q32" s="141">
        <f t="shared" si="0"/>
        <v>118</v>
      </c>
      <c r="R32" s="139">
        <f t="shared" ref="R32:S33" si="53">R31+1</f>
        <v>152</v>
      </c>
      <c r="S32" s="140">
        <f t="shared" si="53"/>
        <v>28</v>
      </c>
      <c r="T32" s="142" t="s">
        <v>20</v>
      </c>
      <c r="U32" s="141">
        <f>U31+1</f>
        <v>148</v>
      </c>
      <c r="V32" s="35">
        <f t="shared" ref="V32:W32" si="54">V31+1</f>
        <v>183</v>
      </c>
      <c r="W32" s="108">
        <f t="shared" si="54"/>
        <v>28</v>
      </c>
      <c r="X32" s="138" t="s">
        <v>20</v>
      </c>
      <c r="Y32" s="146">
        <f t="shared" si="4"/>
        <v>179</v>
      </c>
      <c r="AA32" s="50" t="str">
        <f t="shared" si="5"/>
        <v>NA</v>
      </c>
      <c r="AB32" s="50" t="str">
        <f t="shared" si="6"/>
        <v>NA</v>
      </c>
      <c r="AC32" s="50" t="str">
        <f t="shared" si="7"/>
        <v>NA</v>
      </c>
      <c r="AD32" s="50">
        <f t="shared" si="8"/>
        <v>1</v>
      </c>
      <c r="AE32" s="50" t="str">
        <f t="shared" si="9"/>
        <v>NA</v>
      </c>
      <c r="AF32" s="50" t="str">
        <f t="shared" si="10"/>
        <v>NA</v>
      </c>
      <c r="AM32" s="46"/>
      <c r="AN32" s="46"/>
      <c r="AO32" s="46"/>
      <c r="AP32" s="46"/>
      <c r="AQ32" s="46"/>
      <c r="AR32" s="46"/>
      <c r="AS32" s="46"/>
      <c r="AT32" s="46"/>
      <c r="AU32" s="46"/>
      <c r="AV32" s="77"/>
    </row>
    <row r="33" spans="2:51" s="39" customFormat="1" ht="14.1" customHeight="1">
      <c r="B33" s="139">
        <f t="shared" si="11"/>
        <v>33</v>
      </c>
      <c r="C33" s="140">
        <v>29</v>
      </c>
      <c r="D33" s="142" t="s">
        <v>20</v>
      </c>
      <c r="E33" s="151">
        <f t="shared" si="12"/>
        <v>29</v>
      </c>
      <c r="F33" s="162"/>
      <c r="G33" s="163"/>
      <c r="H33" s="164"/>
      <c r="I33" s="165"/>
      <c r="J33" s="149">
        <f t="shared" si="48"/>
        <v>92</v>
      </c>
      <c r="K33" s="108">
        <v>29</v>
      </c>
      <c r="L33" s="138" t="s">
        <v>20</v>
      </c>
      <c r="M33" s="36">
        <f>M32+1</f>
        <v>88</v>
      </c>
      <c r="N33" s="139">
        <f t="shared" si="13"/>
        <v>123</v>
      </c>
      <c r="O33" s="140">
        <f t="shared" si="13"/>
        <v>29</v>
      </c>
      <c r="P33" s="143" t="s">
        <v>17</v>
      </c>
      <c r="Q33" s="196">
        <f t="shared" si="0"/>
        <v>119</v>
      </c>
      <c r="R33" s="139">
        <f t="shared" si="53"/>
        <v>153</v>
      </c>
      <c r="S33" s="140">
        <f t="shared" si="53"/>
        <v>29</v>
      </c>
      <c r="T33" s="142" t="s">
        <v>20</v>
      </c>
      <c r="U33" s="141">
        <f>U32+1</f>
        <v>149</v>
      </c>
      <c r="V33" s="139">
        <f t="shared" si="3"/>
        <v>184</v>
      </c>
      <c r="W33" s="140">
        <f>W32+1</f>
        <v>29</v>
      </c>
      <c r="X33" s="143" t="s">
        <v>17</v>
      </c>
      <c r="Y33" s="141">
        <f t="shared" si="4"/>
        <v>180</v>
      </c>
      <c r="AA33" s="50" t="str">
        <f t="shared" si="5"/>
        <v>NA</v>
      </c>
      <c r="AB33" s="50">
        <f t="shared" si="6"/>
        <v>1</v>
      </c>
      <c r="AC33" s="50" t="str">
        <f t="shared" si="7"/>
        <v>NA</v>
      </c>
      <c r="AD33" s="50">
        <f t="shared" si="8"/>
        <v>1</v>
      </c>
      <c r="AE33" s="50" t="str">
        <f t="shared" si="9"/>
        <v>NA</v>
      </c>
      <c r="AF33" s="50">
        <f t="shared" si="10"/>
        <v>1</v>
      </c>
      <c r="AM33" s="46"/>
      <c r="AN33" s="46"/>
      <c r="AO33" s="46"/>
      <c r="AP33" s="46"/>
      <c r="AQ33" s="46"/>
      <c r="AR33" s="46"/>
      <c r="AS33" s="46"/>
      <c r="AT33" s="46"/>
      <c r="AU33" s="46"/>
      <c r="AV33" s="37"/>
    </row>
    <row r="34" spans="2:51" s="39" customFormat="1" ht="14.1" customHeight="1">
      <c r="B34" s="139">
        <f t="shared" si="11"/>
        <v>34</v>
      </c>
      <c r="C34" s="140">
        <v>30</v>
      </c>
      <c r="D34" s="142" t="s">
        <v>20</v>
      </c>
      <c r="E34" s="151">
        <f t="shared" si="12"/>
        <v>30</v>
      </c>
      <c r="F34" s="166"/>
      <c r="G34" s="167"/>
      <c r="H34" s="168"/>
      <c r="I34" s="165"/>
      <c r="J34" s="152">
        <f>J33+1</f>
        <v>93</v>
      </c>
      <c r="K34" s="140">
        <v>30</v>
      </c>
      <c r="L34" s="142" t="s">
        <v>17</v>
      </c>
      <c r="M34" s="141">
        <f>M33+1</f>
        <v>89</v>
      </c>
      <c r="N34" s="139">
        <f t="shared" si="13"/>
        <v>124</v>
      </c>
      <c r="O34" s="140">
        <f t="shared" si="13"/>
        <v>30</v>
      </c>
      <c r="P34" s="143" t="s">
        <v>17</v>
      </c>
      <c r="Q34" s="141">
        <f t="shared" si="0"/>
        <v>120</v>
      </c>
      <c r="R34" s="35">
        <f t="shared" si="0"/>
        <v>154</v>
      </c>
      <c r="S34" s="108">
        <f t="shared" si="0"/>
        <v>30</v>
      </c>
      <c r="T34" s="138" t="s">
        <v>20</v>
      </c>
      <c r="U34" s="36">
        <f t="shared" ref="U34" si="55">U33+1</f>
        <v>150</v>
      </c>
      <c r="V34" s="139">
        <f t="shared" si="3"/>
        <v>185</v>
      </c>
      <c r="W34" s="140">
        <f>W33+1</f>
        <v>30</v>
      </c>
      <c r="X34" s="143" t="s">
        <v>17</v>
      </c>
      <c r="Y34" s="141">
        <f t="shared" si="4"/>
        <v>181</v>
      </c>
      <c r="AA34" s="50" t="str">
        <f t="shared" si="5"/>
        <v>NA</v>
      </c>
      <c r="AB34" s="50"/>
      <c r="AC34" s="50">
        <f t="shared" si="7"/>
        <v>1</v>
      </c>
      <c r="AD34" s="50">
        <f t="shared" si="8"/>
        <v>1</v>
      </c>
      <c r="AE34" s="50" t="str">
        <f t="shared" si="9"/>
        <v>NA</v>
      </c>
      <c r="AF34" s="50">
        <f t="shared" si="10"/>
        <v>1</v>
      </c>
      <c r="AM34" s="46"/>
      <c r="AN34" s="46"/>
      <c r="AO34" s="46"/>
      <c r="AP34" s="46"/>
      <c r="AQ34" s="46"/>
      <c r="AR34" s="46"/>
      <c r="AS34" s="46"/>
      <c r="AT34" s="46"/>
      <c r="AU34" s="46"/>
      <c r="AV34" s="77"/>
    </row>
    <row r="35" spans="2:51" s="39" customFormat="1" ht="14.1" customHeight="1" thickBot="1">
      <c r="B35" s="35">
        <f t="shared" si="11"/>
        <v>35</v>
      </c>
      <c r="C35" s="108">
        <v>31</v>
      </c>
      <c r="D35" s="138" t="s">
        <v>20</v>
      </c>
      <c r="E35" s="150">
        <f t="shared" si="12"/>
        <v>31</v>
      </c>
      <c r="F35" s="169"/>
      <c r="G35" s="170"/>
      <c r="H35" s="171"/>
      <c r="I35" s="172"/>
      <c r="J35" s="152">
        <f>J34+1</f>
        <v>94</v>
      </c>
      <c r="K35" s="140">
        <v>31</v>
      </c>
      <c r="L35" s="142" t="s">
        <v>17</v>
      </c>
      <c r="M35" s="141">
        <f>M34+1</f>
        <v>90</v>
      </c>
      <c r="N35" s="173"/>
      <c r="O35" s="174"/>
      <c r="P35" s="175"/>
      <c r="Q35" s="176"/>
      <c r="R35" s="35">
        <f t="shared" ref="R35:S35" si="56">R34+1</f>
        <v>155</v>
      </c>
      <c r="S35" s="147">
        <f t="shared" si="56"/>
        <v>31</v>
      </c>
      <c r="T35" s="138" t="s">
        <v>20</v>
      </c>
      <c r="U35" s="146">
        <f t="shared" ref="U35" si="57">U34+1</f>
        <v>151</v>
      </c>
      <c r="V35" s="167"/>
      <c r="W35" s="167"/>
      <c r="X35" s="168"/>
      <c r="Y35" s="177"/>
      <c r="AA35" s="50" t="str">
        <f t="shared" si="5"/>
        <v>NA</v>
      </c>
      <c r="AB35" s="50"/>
      <c r="AC35" s="50">
        <f t="shared" si="7"/>
        <v>1</v>
      </c>
      <c r="AD35" s="53"/>
      <c r="AE35" s="50" t="str">
        <f t="shared" si="9"/>
        <v>NA</v>
      </c>
      <c r="AF35" s="53"/>
      <c r="AM35" s="46"/>
      <c r="AN35" s="46"/>
      <c r="AO35" s="46"/>
      <c r="AP35" s="46"/>
      <c r="AQ35" s="46"/>
      <c r="AR35" s="46"/>
      <c r="AS35" s="46"/>
      <c r="AT35" s="46"/>
      <c r="AU35" s="46"/>
      <c r="AV35" s="77"/>
    </row>
    <row r="36" spans="2:51" s="39" customFormat="1" ht="16.5" thickBot="1">
      <c r="B36" s="105">
        <v>21</v>
      </c>
      <c r="C36" s="97" t="s">
        <v>9</v>
      </c>
      <c r="D36" s="98"/>
      <c r="E36" s="100"/>
      <c r="F36" s="101">
        <v>20</v>
      </c>
      <c r="G36" s="97" t="s">
        <v>9</v>
      </c>
      <c r="H36" s="98"/>
      <c r="I36" s="100"/>
      <c r="J36" s="101">
        <v>22</v>
      </c>
      <c r="K36" s="97" t="s">
        <v>9</v>
      </c>
      <c r="L36" s="98"/>
      <c r="M36" s="100"/>
      <c r="N36" s="101">
        <v>19</v>
      </c>
      <c r="O36" s="97" t="s">
        <v>9</v>
      </c>
      <c r="P36" s="98"/>
      <c r="Q36" s="102"/>
      <c r="R36" s="101">
        <v>19</v>
      </c>
      <c r="S36" s="97" t="s">
        <v>9</v>
      </c>
      <c r="T36" s="98"/>
      <c r="U36" s="103"/>
      <c r="V36" s="96">
        <v>22</v>
      </c>
      <c r="W36" s="97" t="s">
        <v>9</v>
      </c>
      <c r="X36" s="98"/>
      <c r="Y36" s="99"/>
      <c r="Z36" s="47" t="s">
        <v>23</v>
      </c>
      <c r="AA36" s="48">
        <f t="shared" ref="AA36:AF36" si="58">SUM(AA5:AA35)</f>
        <v>0</v>
      </c>
      <c r="AB36" s="48">
        <f t="shared" si="58"/>
        <v>1</v>
      </c>
      <c r="AC36" s="48">
        <f t="shared" si="58"/>
        <v>16</v>
      </c>
      <c r="AD36" s="48">
        <f t="shared" si="58"/>
        <v>20</v>
      </c>
      <c r="AE36" s="48">
        <f t="shared" si="58"/>
        <v>13</v>
      </c>
      <c r="AF36" s="48">
        <f t="shared" si="58"/>
        <v>16</v>
      </c>
      <c r="AM36" s="52"/>
      <c r="AN36" s="52"/>
      <c r="AO36" s="52"/>
      <c r="AP36" s="52"/>
      <c r="AQ36" s="52"/>
      <c r="AR36" s="52"/>
      <c r="AS36" s="52"/>
      <c r="AT36" s="52"/>
      <c r="AU36" s="52"/>
      <c r="AV36" s="77"/>
    </row>
    <row r="37" spans="2:51" ht="18.75" customHeight="1">
      <c r="B37" s="104"/>
      <c r="C37" s="1"/>
      <c r="D37" s="6"/>
      <c r="F37" s="1"/>
      <c r="G37" s="1"/>
      <c r="H37" s="6"/>
      <c r="J37" s="1"/>
      <c r="K37" s="1"/>
      <c r="L37" s="6"/>
      <c r="N37" s="1"/>
      <c r="O37" s="1"/>
      <c r="P37" s="6"/>
      <c r="R37" s="1"/>
      <c r="S37" s="1"/>
      <c r="T37" s="6"/>
      <c r="V37" s="1"/>
      <c r="W37" s="1"/>
      <c r="X37" s="6"/>
      <c r="Y37" s="95"/>
      <c r="AB37" s="45"/>
      <c r="AC37" s="45"/>
      <c r="AD37" s="45"/>
      <c r="AE37" s="45"/>
      <c r="AF37" s="45"/>
      <c r="AM37" s="45"/>
      <c r="AN37" s="45"/>
      <c r="AO37" s="45"/>
      <c r="AP37" s="45"/>
      <c r="AQ37" s="45"/>
      <c r="AR37" s="45"/>
      <c r="AS37" s="45"/>
      <c r="AT37" s="45"/>
      <c r="AU37" s="45"/>
      <c r="AW37" s="39"/>
      <c r="AX37" s="39"/>
      <c r="AY37" s="39"/>
    </row>
    <row r="38" spans="2:51" ht="20.25" customHeight="1">
      <c r="B38" s="4"/>
      <c r="C38" s="5"/>
      <c r="D38" s="6"/>
      <c r="F38" s="7"/>
      <c r="G38" s="8"/>
      <c r="H38" s="6"/>
      <c r="I38" s="9"/>
      <c r="J38" s="10" t="s">
        <v>10</v>
      </c>
      <c r="L38" s="6"/>
      <c r="O38" s="5"/>
      <c r="P38" s="11" t="s">
        <v>11</v>
      </c>
      <c r="T38" s="6"/>
      <c r="U38" s="12"/>
      <c r="V38" s="13">
        <f>$V$36+$R$36+$N$36+$J$36+$F$36+$B$36+$B$72+$F$72+$J$72+$N$72+$R$72+$V$72</f>
        <v>255</v>
      </c>
      <c r="W38" s="10" t="s">
        <v>9</v>
      </c>
      <c r="X38" s="6"/>
      <c r="Y38" s="75"/>
      <c r="Z38" s="6"/>
      <c r="AB38" s="45"/>
      <c r="AC38" s="45"/>
      <c r="AD38" s="45"/>
      <c r="AE38" s="45"/>
      <c r="AF38" s="45"/>
      <c r="AM38" s="45"/>
      <c r="AN38" s="45"/>
      <c r="AO38" s="45"/>
      <c r="AP38" s="45"/>
      <c r="AQ38" s="45"/>
      <c r="AR38" s="45"/>
      <c r="AS38" s="45"/>
      <c r="AT38" s="45"/>
      <c r="AU38" s="45"/>
      <c r="AV38" s="79" t="s">
        <v>53</v>
      </c>
      <c r="AW38" s="39"/>
      <c r="AX38" s="39"/>
      <c r="AY38" s="39"/>
    </row>
    <row r="39" spans="2:51" ht="20.25" customHeight="1" thickBot="1">
      <c r="B39" s="14"/>
      <c r="C39" s="15"/>
      <c r="D39" s="16"/>
      <c r="E39" s="17"/>
      <c r="F39" s="18"/>
      <c r="G39" s="19"/>
      <c r="H39" s="16"/>
      <c r="I39" s="17"/>
      <c r="J39" s="19"/>
      <c r="K39" s="19"/>
      <c r="L39" s="16"/>
      <c r="M39" s="17"/>
      <c r="N39" s="19"/>
      <c r="O39" s="19"/>
      <c r="P39" s="16"/>
      <c r="Q39" s="18"/>
      <c r="R39" s="19"/>
      <c r="S39" s="19"/>
      <c r="T39" s="16"/>
      <c r="U39" s="17"/>
      <c r="V39" s="20"/>
      <c r="W39" s="19"/>
      <c r="X39" s="21"/>
      <c r="Y39" s="22"/>
      <c r="AV39" s="127" t="s">
        <v>74</v>
      </c>
      <c r="AW39" s="39"/>
      <c r="AX39" s="39"/>
      <c r="AY39" s="92"/>
    </row>
    <row r="40" spans="2:51" ht="18.75" thickBot="1">
      <c r="B40" s="23" t="s">
        <v>41</v>
      </c>
      <c r="C40" s="24"/>
      <c r="D40" s="25"/>
      <c r="E40" s="26"/>
      <c r="F40" s="27" t="s">
        <v>12</v>
      </c>
      <c r="G40" s="28"/>
      <c r="H40" s="29"/>
      <c r="I40" s="26"/>
      <c r="J40" s="27" t="s">
        <v>13</v>
      </c>
      <c r="K40" s="28"/>
      <c r="L40" s="29"/>
      <c r="M40" s="26"/>
      <c r="N40" s="27" t="s">
        <v>42</v>
      </c>
      <c r="O40" s="28"/>
      <c r="P40" s="29"/>
      <c r="Q40" s="30"/>
      <c r="R40" s="27" t="s">
        <v>14</v>
      </c>
      <c r="S40" s="28"/>
      <c r="T40" s="29"/>
      <c r="U40" s="26"/>
      <c r="V40" s="27" t="s">
        <v>43</v>
      </c>
      <c r="W40" s="28"/>
      <c r="X40" s="29"/>
      <c r="Y40" s="26"/>
      <c r="AA40" s="49" t="s">
        <v>30</v>
      </c>
      <c r="AB40" s="49" t="s">
        <v>31</v>
      </c>
      <c r="AC40" s="49" t="s">
        <v>32</v>
      </c>
      <c r="AD40" s="49" t="s">
        <v>33</v>
      </c>
      <c r="AE40" s="49" t="s">
        <v>34</v>
      </c>
      <c r="AF40" s="49" t="s">
        <v>35</v>
      </c>
      <c r="AV40" s="127" t="s">
        <v>75</v>
      </c>
    </row>
    <row r="41" spans="2:51" s="39" customFormat="1" ht="14.1" customHeight="1">
      <c r="B41" s="139">
        <f>V34+1</f>
        <v>186</v>
      </c>
      <c r="C41" s="140">
        <v>1</v>
      </c>
      <c r="D41" s="142" t="s">
        <v>20</v>
      </c>
      <c r="E41" s="141">
        <f>Y34+1</f>
        <v>182</v>
      </c>
      <c r="F41" s="40">
        <f>B71+1</f>
        <v>217</v>
      </c>
      <c r="G41" s="108">
        <v>1</v>
      </c>
      <c r="H41" s="138" t="s">
        <v>20</v>
      </c>
      <c r="I41" s="130">
        <f>E71+1</f>
        <v>213</v>
      </c>
      <c r="J41" s="139">
        <f>F71+1</f>
        <v>248</v>
      </c>
      <c r="K41" s="140">
        <f>K40+1</f>
        <v>1</v>
      </c>
      <c r="L41" s="143" t="s">
        <v>20</v>
      </c>
      <c r="M41" s="141">
        <f>I71+1</f>
        <v>244</v>
      </c>
      <c r="N41" s="139">
        <f>J70+1</f>
        <v>278</v>
      </c>
      <c r="O41" s="140">
        <v>1</v>
      </c>
      <c r="P41" s="142" t="s">
        <v>20</v>
      </c>
      <c r="Q41" s="141">
        <f>M70+1</f>
        <v>274</v>
      </c>
      <c r="R41" s="94">
        <f>N71+1</f>
        <v>309</v>
      </c>
      <c r="S41" s="108">
        <v>1</v>
      </c>
      <c r="T41" s="145" t="s">
        <v>20</v>
      </c>
      <c r="U41" s="131">
        <f>Q71+1</f>
        <v>305</v>
      </c>
      <c r="V41" s="139">
        <f>R70+1</f>
        <v>339</v>
      </c>
      <c r="W41" s="140">
        <v>1</v>
      </c>
      <c r="X41" s="143" t="s">
        <v>17</v>
      </c>
      <c r="Y41" s="141">
        <f>U70+1</f>
        <v>335</v>
      </c>
      <c r="AA41" s="50" t="str">
        <f>IF(D41="Day",1,IF(D41="1/2 Day",0.5,IF(D41="Day Special",1.2,"NA")))</f>
        <v>NA</v>
      </c>
      <c r="AB41" s="50" t="str">
        <f>IF(H41="Day",1,IF(H41="1/2 Day",0.5,IF(H41="Day Special",1.2,"NA")))</f>
        <v>NA</v>
      </c>
      <c r="AC41" s="50" t="str">
        <f>IF(L41="Day",1,IF(L41="1/2 Day",0.5,IF(L41="Day Special",1.2,"NA")))</f>
        <v>NA</v>
      </c>
      <c r="AD41" s="50" t="str">
        <f>IF(P41="Day",1,IF(P41="1/2 Day",0.5,IF(P41="Day Special",1.2,"NA")))</f>
        <v>NA</v>
      </c>
      <c r="AE41" s="50" t="str">
        <f>IF(T41="Day",1,IF(T41="1/2 Day",0.5,IF(T41="Day Special",1.2,"NA")))</f>
        <v>NA</v>
      </c>
      <c r="AF41" s="50">
        <f>IF(X41="Day",1,IF(X41="1/2 Day",0.5,IF(X41="Day Special",1.2,"NA")))</f>
        <v>1</v>
      </c>
      <c r="AV41" s="127" t="s">
        <v>76</v>
      </c>
      <c r="AW41" s="2"/>
      <c r="AX41" s="2"/>
      <c r="AY41" s="2"/>
    </row>
    <row r="42" spans="2:51" s="39" customFormat="1" ht="14.1" customHeight="1">
      <c r="B42" s="139">
        <f t="shared" ref="B42:C43" si="59">B41+1</f>
        <v>187</v>
      </c>
      <c r="C42" s="140">
        <f>C41+1</f>
        <v>2</v>
      </c>
      <c r="D42" s="142" t="s">
        <v>20</v>
      </c>
      <c r="E42" s="141">
        <f t="shared" ref="E42:I71" si="60">E41+1</f>
        <v>183</v>
      </c>
      <c r="F42" s="35">
        <f t="shared" si="60"/>
        <v>218</v>
      </c>
      <c r="G42" s="108">
        <f t="shared" si="60"/>
        <v>2</v>
      </c>
      <c r="H42" s="138" t="s">
        <v>20</v>
      </c>
      <c r="I42" s="130">
        <f t="shared" si="60"/>
        <v>214</v>
      </c>
      <c r="J42" s="139">
        <f>J41+1</f>
        <v>249</v>
      </c>
      <c r="K42" s="140">
        <f>K41+1</f>
        <v>2</v>
      </c>
      <c r="L42" s="142" t="s">
        <v>20</v>
      </c>
      <c r="M42" s="141">
        <f t="shared" ref="M42:O71" si="61">M41+1</f>
        <v>245</v>
      </c>
      <c r="N42" s="139">
        <f t="shared" si="61"/>
        <v>279</v>
      </c>
      <c r="O42" s="140">
        <f>O41+1</f>
        <v>2</v>
      </c>
      <c r="P42" s="142" t="s">
        <v>20</v>
      </c>
      <c r="Q42" s="141">
        <f t="shared" ref="Q42:S71" si="62">Q41+1</f>
        <v>275</v>
      </c>
      <c r="R42" s="139">
        <f t="shared" si="62"/>
        <v>310</v>
      </c>
      <c r="S42" s="140">
        <f t="shared" si="62"/>
        <v>2</v>
      </c>
      <c r="T42" s="143" t="s">
        <v>20</v>
      </c>
      <c r="U42" s="141">
        <f t="shared" ref="U42:W70" si="63">U41+1</f>
        <v>306</v>
      </c>
      <c r="V42" s="139">
        <f>V41+1</f>
        <v>340</v>
      </c>
      <c r="W42" s="140">
        <f>W41+1</f>
        <v>2</v>
      </c>
      <c r="X42" s="142" t="s">
        <v>17</v>
      </c>
      <c r="Y42" s="141">
        <f t="shared" ref="Y42:Y71" si="64">Y41+1</f>
        <v>336</v>
      </c>
      <c r="AA42" s="50" t="str">
        <f t="shared" ref="AA42:AA71" si="65">IF(D42="Day",1,IF(D42="1/2 Day",0.5,IF(D42="Day Special",1.2,"NA")))</f>
        <v>NA</v>
      </c>
      <c r="AB42" s="50" t="str">
        <f t="shared" ref="AB42:AB71" si="66">IF(H42="Day",1,IF(H42="1/2 Day",0.5,IF(H42="Day Special",1.2,"NA")))</f>
        <v>NA</v>
      </c>
      <c r="AC42" s="50" t="str">
        <f t="shared" ref="AC42:AC70" si="67">IF(L42="Day",1,IF(L42="1/2 Day",0.5,IF(L42="Day Special",1.2,"NA")))</f>
        <v>NA</v>
      </c>
      <c r="AD42" s="50" t="str">
        <f t="shared" ref="AD42:AD71" si="68">IF(P42="Day",1,IF(P42="1/2 Day",0.5,IF(P42="Day Special",1.2,"NA")))</f>
        <v>NA</v>
      </c>
      <c r="AE42" s="50" t="str">
        <f t="shared" ref="AE42:AE70" si="69">IF(T42="Day",1,IF(T42="1/2 Day",0.5,IF(T42="Day Special",1.2,"NA")))</f>
        <v>NA</v>
      </c>
      <c r="AF42" s="50">
        <f t="shared" ref="AF42:AF71" si="70">IF(X42="Day",1,IF(X42="1/2 Day",0.5,IF(X42="Day Special",1.2,"NA")))</f>
        <v>1</v>
      </c>
      <c r="AV42" s="127" t="s">
        <v>77</v>
      </c>
      <c r="AW42" s="2"/>
      <c r="AX42" s="2"/>
      <c r="AY42" s="2"/>
    </row>
    <row r="43" spans="2:51" s="39" customFormat="1" ht="14.1" customHeight="1">
      <c r="B43" s="139">
        <f t="shared" si="59"/>
        <v>188</v>
      </c>
      <c r="C43" s="140">
        <f t="shared" si="59"/>
        <v>3</v>
      </c>
      <c r="D43" s="142" t="s">
        <v>20</v>
      </c>
      <c r="E43" s="141">
        <f t="shared" si="60"/>
        <v>184</v>
      </c>
      <c r="F43" s="139">
        <f t="shared" si="60"/>
        <v>219</v>
      </c>
      <c r="G43" s="140">
        <f t="shared" si="60"/>
        <v>3</v>
      </c>
      <c r="H43" s="143" t="s">
        <v>20</v>
      </c>
      <c r="I43" s="141">
        <f t="shared" ref="I43:K71" si="71">I42+1</f>
        <v>215</v>
      </c>
      <c r="J43" s="139">
        <f t="shared" si="71"/>
        <v>250</v>
      </c>
      <c r="K43" s="140">
        <f t="shared" si="71"/>
        <v>3</v>
      </c>
      <c r="L43" s="142" t="s">
        <v>20</v>
      </c>
      <c r="M43" s="141">
        <f t="shared" si="61"/>
        <v>246</v>
      </c>
      <c r="N43" s="35">
        <f t="shared" si="61"/>
        <v>280</v>
      </c>
      <c r="O43" s="108">
        <f t="shared" si="61"/>
        <v>3</v>
      </c>
      <c r="P43" s="138" t="s">
        <v>20</v>
      </c>
      <c r="Q43" s="131">
        <f t="shared" ref="Q43" si="72">Q42+1</f>
        <v>276</v>
      </c>
      <c r="R43" s="139">
        <f t="shared" si="62"/>
        <v>311</v>
      </c>
      <c r="S43" s="140">
        <f t="shared" si="62"/>
        <v>3</v>
      </c>
      <c r="T43" s="143" t="s">
        <v>20</v>
      </c>
      <c r="U43" s="141">
        <f t="shared" si="63"/>
        <v>307</v>
      </c>
      <c r="V43" s="139">
        <f t="shared" si="63"/>
        <v>341</v>
      </c>
      <c r="W43" s="140">
        <f t="shared" si="63"/>
        <v>3</v>
      </c>
      <c r="X43" s="142" t="s">
        <v>20</v>
      </c>
      <c r="Y43" s="141">
        <f t="shared" si="64"/>
        <v>337</v>
      </c>
      <c r="AA43" s="50" t="str">
        <f t="shared" si="65"/>
        <v>NA</v>
      </c>
      <c r="AB43" s="50" t="str">
        <f t="shared" si="66"/>
        <v>NA</v>
      </c>
      <c r="AC43" s="50" t="str">
        <f t="shared" si="67"/>
        <v>NA</v>
      </c>
      <c r="AD43" s="50" t="str">
        <f t="shared" si="68"/>
        <v>NA</v>
      </c>
      <c r="AE43" s="50" t="str">
        <f t="shared" si="69"/>
        <v>NA</v>
      </c>
      <c r="AF43" s="50" t="str">
        <f t="shared" si="70"/>
        <v>NA</v>
      </c>
      <c r="AV43" s="127" t="s">
        <v>70</v>
      </c>
      <c r="AW43" s="2"/>
      <c r="AX43" s="2"/>
      <c r="AY43" s="2"/>
    </row>
    <row r="44" spans="2:51" s="39" customFormat="1" ht="14.1" customHeight="1">
      <c r="B44" s="35">
        <f t="shared" ref="B44:C44" si="73">B43+1</f>
        <v>189</v>
      </c>
      <c r="C44" s="108">
        <f t="shared" si="73"/>
        <v>4</v>
      </c>
      <c r="D44" s="138" t="s">
        <v>20</v>
      </c>
      <c r="E44" s="36">
        <f t="shared" si="60"/>
        <v>185</v>
      </c>
      <c r="F44" s="139">
        <f t="shared" si="60"/>
        <v>220</v>
      </c>
      <c r="G44" s="140">
        <f t="shared" si="60"/>
        <v>4</v>
      </c>
      <c r="H44" s="143" t="s">
        <v>20</v>
      </c>
      <c r="I44" s="141">
        <f t="shared" si="71"/>
        <v>216</v>
      </c>
      <c r="J44" s="139">
        <f t="shared" si="71"/>
        <v>251</v>
      </c>
      <c r="K44" s="140">
        <f t="shared" si="71"/>
        <v>4</v>
      </c>
      <c r="L44" s="142" t="s">
        <v>20</v>
      </c>
      <c r="M44" s="141">
        <f t="shared" si="61"/>
        <v>247</v>
      </c>
      <c r="N44" s="35">
        <f t="shared" si="61"/>
        <v>281</v>
      </c>
      <c r="O44" s="108">
        <f t="shared" si="61"/>
        <v>4</v>
      </c>
      <c r="P44" s="138" t="s">
        <v>20</v>
      </c>
      <c r="Q44" s="131">
        <f t="shared" ref="Q44" si="74">Q43+1</f>
        <v>277</v>
      </c>
      <c r="R44" s="139">
        <f t="shared" si="62"/>
        <v>312</v>
      </c>
      <c r="S44" s="140">
        <f t="shared" si="62"/>
        <v>4</v>
      </c>
      <c r="T44" s="142" t="s">
        <v>20</v>
      </c>
      <c r="U44" s="141">
        <f t="shared" si="63"/>
        <v>308</v>
      </c>
      <c r="V44" s="139">
        <f t="shared" si="63"/>
        <v>342</v>
      </c>
      <c r="W44" s="140">
        <f t="shared" si="63"/>
        <v>4</v>
      </c>
      <c r="X44" s="142" t="s">
        <v>20</v>
      </c>
      <c r="Y44" s="141">
        <f t="shared" si="64"/>
        <v>338</v>
      </c>
      <c r="AA44" s="50" t="str">
        <f t="shared" si="65"/>
        <v>NA</v>
      </c>
      <c r="AB44" s="50" t="str">
        <f t="shared" si="66"/>
        <v>NA</v>
      </c>
      <c r="AC44" s="50" t="str">
        <f t="shared" si="67"/>
        <v>NA</v>
      </c>
      <c r="AD44" s="50" t="str">
        <f t="shared" si="68"/>
        <v>NA</v>
      </c>
      <c r="AE44" s="50" t="str">
        <f t="shared" si="69"/>
        <v>NA</v>
      </c>
      <c r="AF44" s="50" t="str">
        <f t="shared" si="70"/>
        <v>NA</v>
      </c>
      <c r="AV44" s="128" t="s">
        <v>78</v>
      </c>
    </row>
    <row r="45" spans="2:51" s="39" customFormat="1" ht="14.1" customHeight="1">
      <c r="B45" s="35">
        <f t="shared" ref="B45:C47" si="75">B44+1</f>
        <v>190</v>
      </c>
      <c r="C45" s="108">
        <f t="shared" si="75"/>
        <v>5</v>
      </c>
      <c r="D45" s="138" t="s">
        <v>20</v>
      </c>
      <c r="E45" s="131">
        <f t="shared" si="60"/>
        <v>186</v>
      </c>
      <c r="F45" s="139">
        <f t="shared" si="60"/>
        <v>221</v>
      </c>
      <c r="G45" s="140">
        <f t="shared" si="60"/>
        <v>5</v>
      </c>
      <c r="H45" s="142" t="s">
        <v>20</v>
      </c>
      <c r="I45" s="141">
        <f t="shared" si="71"/>
        <v>217</v>
      </c>
      <c r="J45" s="35">
        <f t="shared" si="71"/>
        <v>252</v>
      </c>
      <c r="K45" s="108">
        <f t="shared" si="71"/>
        <v>5</v>
      </c>
      <c r="L45" s="138" t="s">
        <v>20</v>
      </c>
      <c r="M45" s="36">
        <f t="shared" si="61"/>
        <v>248</v>
      </c>
      <c r="N45" s="139">
        <f t="shared" si="61"/>
        <v>282</v>
      </c>
      <c r="O45" s="140">
        <f>O44+1</f>
        <v>5</v>
      </c>
      <c r="P45" s="143" t="s">
        <v>20</v>
      </c>
      <c r="Q45" s="141">
        <f t="shared" si="62"/>
        <v>278</v>
      </c>
      <c r="R45" s="139">
        <f t="shared" si="62"/>
        <v>313</v>
      </c>
      <c r="S45" s="140">
        <f t="shared" si="62"/>
        <v>5</v>
      </c>
      <c r="T45" s="142" t="s">
        <v>20</v>
      </c>
      <c r="U45" s="141">
        <f t="shared" si="63"/>
        <v>309</v>
      </c>
      <c r="V45" s="35">
        <f t="shared" si="63"/>
        <v>343</v>
      </c>
      <c r="W45" s="108">
        <f t="shared" si="63"/>
        <v>5</v>
      </c>
      <c r="X45" s="138" t="s">
        <v>20</v>
      </c>
      <c r="Y45" s="36">
        <f t="shared" ref="Y45" si="76">Y44+1</f>
        <v>339</v>
      </c>
      <c r="AA45" s="50" t="str">
        <f t="shared" si="65"/>
        <v>NA</v>
      </c>
      <c r="AB45" s="50" t="str">
        <f t="shared" si="66"/>
        <v>NA</v>
      </c>
      <c r="AC45" s="50" t="str">
        <f t="shared" si="67"/>
        <v>NA</v>
      </c>
      <c r="AD45" s="50" t="str">
        <f t="shared" si="68"/>
        <v>NA</v>
      </c>
      <c r="AE45" s="50" t="str">
        <f t="shared" si="69"/>
        <v>NA</v>
      </c>
      <c r="AF45" s="50" t="str">
        <f t="shared" si="70"/>
        <v>NA</v>
      </c>
      <c r="AV45" s="128" t="s">
        <v>51</v>
      </c>
    </row>
    <row r="46" spans="2:51" s="39" customFormat="1" ht="14.1" customHeight="1">
      <c r="B46" s="139">
        <f t="shared" si="75"/>
        <v>191</v>
      </c>
      <c r="C46" s="140">
        <f t="shared" si="75"/>
        <v>6</v>
      </c>
      <c r="D46" s="143" t="s">
        <v>20</v>
      </c>
      <c r="E46" s="141">
        <f t="shared" si="60"/>
        <v>187</v>
      </c>
      <c r="F46" s="139">
        <f t="shared" si="60"/>
        <v>222</v>
      </c>
      <c r="G46" s="140">
        <f t="shared" si="60"/>
        <v>6</v>
      </c>
      <c r="H46" s="142" t="s">
        <v>20</v>
      </c>
      <c r="I46" s="141">
        <f t="shared" si="71"/>
        <v>218</v>
      </c>
      <c r="J46" s="35">
        <f t="shared" si="71"/>
        <v>253</v>
      </c>
      <c r="K46" s="108">
        <f t="shared" si="71"/>
        <v>6</v>
      </c>
      <c r="L46" s="138" t="s">
        <v>20</v>
      </c>
      <c r="M46" s="179">
        <f t="shared" si="61"/>
        <v>249</v>
      </c>
      <c r="N46" s="139">
        <f t="shared" si="61"/>
        <v>283</v>
      </c>
      <c r="O46" s="140">
        <f>O45+1</f>
        <v>6</v>
      </c>
      <c r="P46" s="143" t="s">
        <v>20</v>
      </c>
      <c r="Q46" s="141">
        <f t="shared" si="62"/>
        <v>279</v>
      </c>
      <c r="R46" s="139">
        <f t="shared" si="62"/>
        <v>314</v>
      </c>
      <c r="S46" s="140">
        <f t="shared" si="62"/>
        <v>6</v>
      </c>
      <c r="T46" s="142" t="s">
        <v>20</v>
      </c>
      <c r="U46" s="141">
        <f t="shared" si="63"/>
        <v>310</v>
      </c>
      <c r="V46" s="35">
        <f t="shared" si="63"/>
        <v>344</v>
      </c>
      <c r="W46" s="108">
        <f t="shared" si="63"/>
        <v>6</v>
      </c>
      <c r="X46" s="138" t="s">
        <v>20</v>
      </c>
      <c r="Y46" s="193">
        <f t="shared" ref="Y46:Y48" si="77">Y45+1</f>
        <v>340</v>
      </c>
      <c r="AA46" s="50" t="str">
        <f t="shared" si="65"/>
        <v>NA</v>
      </c>
      <c r="AB46" s="50" t="str">
        <f t="shared" si="66"/>
        <v>NA</v>
      </c>
      <c r="AC46" s="50" t="str">
        <f t="shared" si="67"/>
        <v>NA</v>
      </c>
      <c r="AD46" s="50" t="str">
        <f t="shared" si="68"/>
        <v>NA</v>
      </c>
      <c r="AE46" s="50" t="str">
        <f t="shared" si="69"/>
        <v>NA</v>
      </c>
      <c r="AF46" s="50" t="str">
        <f t="shared" si="70"/>
        <v>NA</v>
      </c>
      <c r="AV46" s="127" t="s">
        <v>70</v>
      </c>
    </row>
    <row r="47" spans="2:51" s="39" customFormat="1" ht="14.1" customHeight="1">
      <c r="B47" s="139">
        <f t="shared" si="75"/>
        <v>192</v>
      </c>
      <c r="C47" s="140">
        <f t="shared" si="75"/>
        <v>7</v>
      </c>
      <c r="D47" s="143" t="s">
        <v>20</v>
      </c>
      <c r="E47" s="141">
        <f t="shared" si="60"/>
        <v>188</v>
      </c>
      <c r="F47" s="139">
        <f t="shared" si="60"/>
        <v>223</v>
      </c>
      <c r="G47" s="140">
        <f t="shared" si="60"/>
        <v>7</v>
      </c>
      <c r="H47" s="142" t="s">
        <v>20</v>
      </c>
      <c r="I47" s="141">
        <f t="shared" si="71"/>
        <v>219</v>
      </c>
      <c r="J47" s="139">
        <f t="shared" si="71"/>
        <v>254</v>
      </c>
      <c r="K47" s="140">
        <f t="shared" si="71"/>
        <v>7</v>
      </c>
      <c r="L47" s="143" t="s">
        <v>20</v>
      </c>
      <c r="M47" s="141">
        <f t="shared" si="61"/>
        <v>250</v>
      </c>
      <c r="N47" s="139">
        <f t="shared" si="61"/>
        <v>284</v>
      </c>
      <c r="O47" s="140">
        <f t="shared" si="61"/>
        <v>7</v>
      </c>
      <c r="P47" s="142" t="s">
        <v>20</v>
      </c>
      <c r="Q47" s="198">
        <f t="shared" si="62"/>
        <v>280</v>
      </c>
      <c r="R47" s="35">
        <f t="shared" si="62"/>
        <v>315</v>
      </c>
      <c r="S47" s="108">
        <f t="shared" si="62"/>
        <v>7</v>
      </c>
      <c r="T47" s="138" t="s">
        <v>20</v>
      </c>
      <c r="U47" s="36">
        <f t="shared" si="63"/>
        <v>311</v>
      </c>
      <c r="V47" s="139">
        <f t="shared" si="63"/>
        <v>345</v>
      </c>
      <c r="W47" s="140">
        <f t="shared" si="63"/>
        <v>7</v>
      </c>
      <c r="X47" s="143" t="s">
        <v>20</v>
      </c>
      <c r="Y47" s="141">
        <f t="shared" si="64"/>
        <v>341</v>
      </c>
      <c r="AA47" s="50" t="str">
        <f t="shared" si="65"/>
        <v>NA</v>
      </c>
      <c r="AB47" s="50" t="str">
        <f t="shared" si="66"/>
        <v>NA</v>
      </c>
      <c r="AC47" s="50" t="str">
        <f t="shared" si="67"/>
        <v>NA</v>
      </c>
      <c r="AD47" s="50" t="str">
        <f t="shared" si="68"/>
        <v>NA</v>
      </c>
      <c r="AE47" s="50" t="str">
        <f t="shared" si="69"/>
        <v>NA</v>
      </c>
      <c r="AF47" s="50" t="str">
        <f t="shared" si="70"/>
        <v>NA</v>
      </c>
      <c r="AV47" s="39" t="s">
        <v>71</v>
      </c>
    </row>
    <row r="48" spans="2:51" s="39" customFormat="1" ht="14.1" customHeight="1">
      <c r="B48" s="139">
        <f t="shared" ref="B48:C71" si="78">B47+1</f>
        <v>193</v>
      </c>
      <c r="C48" s="140">
        <f t="shared" si="78"/>
        <v>8</v>
      </c>
      <c r="D48" s="142" t="s">
        <v>20</v>
      </c>
      <c r="E48" s="198">
        <f t="shared" si="60"/>
        <v>189</v>
      </c>
      <c r="F48" s="35">
        <f t="shared" si="60"/>
        <v>224</v>
      </c>
      <c r="G48" s="108">
        <f t="shared" si="60"/>
        <v>8</v>
      </c>
      <c r="H48" s="138" t="s">
        <v>20</v>
      </c>
      <c r="I48" s="130">
        <f t="shared" ref="I48" si="79">I47+1</f>
        <v>220</v>
      </c>
      <c r="J48" s="139">
        <f t="shared" si="71"/>
        <v>255</v>
      </c>
      <c r="K48" s="140">
        <f t="shared" si="71"/>
        <v>8</v>
      </c>
      <c r="L48" s="143" t="s">
        <v>20</v>
      </c>
      <c r="M48" s="141">
        <f t="shared" si="61"/>
        <v>251</v>
      </c>
      <c r="N48" s="139">
        <f t="shared" si="61"/>
        <v>285</v>
      </c>
      <c r="O48" s="140">
        <f t="shared" si="61"/>
        <v>8</v>
      </c>
      <c r="P48" s="142" t="s">
        <v>20</v>
      </c>
      <c r="Q48" s="198">
        <f t="shared" si="62"/>
        <v>281</v>
      </c>
      <c r="R48" s="35">
        <f t="shared" si="62"/>
        <v>316</v>
      </c>
      <c r="S48" s="108">
        <f t="shared" si="62"/>
        <v>8</v>
      </c>
      <c r="T48" s="138" t="s">
        <v>20</v>
      </c>
      <c r="U48" s="193">
        <f t="shared" si="63"/>
        <v>312</v>
      </c>
      <c r="V48" s="139">
        <f t="shared" si="63"/>
        <v>346</v>
      </c>
      <c r="W48" s="140">
        <f t="shared" si="63"/>
        <v>8</v>
      </c>
      <c r="X48" s="143" t="s">
        <v>20</v>
      </c>
      <c r="Y48" s="141">
        <f t="shared" si="77"/>
        <v>342</v>
      </c>
      <c r="AA48" s="50" t="str">
        <f t="shared" si="65"/>
        <v>NA</v>
      </c>
      <c r="AB48" s="50" t="str">
        <f t="shared" si="66"/>
        <v>NA</v>
      </c>
      <c r="AC48" s="50" t="str">
        <f t="shared" si="67"/>
        <v>NA</v>
      </c>
      <c r="AD48" s="50" t="str">
        <f t="shared" si="68"/>
        <v>NA</v>
      </c>
      <c r="AE48" s="50" t="str">
        <f t="shared" si="69"/>
        <v>NA</v>
      </c>
      <c r="AF48" s="50" t="str">
        <f t="shared" si="70"/>
        <v>NA</v>
      </c>
      <c r="AV48" s="127" t="s">
        <v>72</v>
      </c>
    </row>
    <row r="49" spans="2:48" s="39" customFormat="1" ht="14.1" customHeight="1">
      <c r="B49" s="139">
        <f t="shared" si="78"/>
        <v>194</v>
      </c>
      <c r="C49" s="140">
        <f t="shared" si="78"/>
        <v>9</v>
      </c>
      <c r="D49" s="142" t="s">
        <v>20</v>
      </c>
      <c r="E49" s="198">
        <f t="shared" si="60"/>
        <v>190</v>
      </c>
      <c r="F49" s="35">
        <f t="shared" si="60"/>
        <v>225</v>
      </c>
      <c r="G49" s="108">
        <f t="shared" si="60"/>
        <v>9</v>
      </c>
      <c r="H49" s="138" t="s">
        <v>20</v>
      </c>
      <c r="I49" s="130">
        <f t="shared" ref="I49" si="80">I48+1</f>
        <v>221</v>
      </c>
      <c r="J49" s="139">
        <f t="shared" si="71"/>
        <v>256</v>
      </c>
      <c r="K49" s="140">
        <f t="shared" si="71"/>
        <v>9</v>
      </c>
      <c r="L49" s="142" t="s">
        <v>20</v>
      </c>
      <c r="M49" s="141">
        <f t="shared" si="61"/>
        <v>252</v>
      </c>
      <c r="N49" s="139">
        <f t="shared" si="61"/>
        <v>286</v>
      </c>
      <c r="O49" s="140">
        <f t="shared" si="61"/>
        <v>9</v>
      </c>
      <c r="P49" s="142" t="s">
        <v>20</v>
      </c>
      <c r="Q49" s="141">
        <f t="shared" si="62"/>
        <v>282</v>
      </c>
      <c r="R49" s="139">
        <f t="shared" si="62"/>
        <v>317</v>
      </c>
      <c r="S49" s="140">
        <f t="shared" si="62"/>
        <v>9</v>
      </c>
      <c r="T49" s="143" t="s">
        <v>20</v>
      </c>
      <c r="U49" s="141">
        <f t="shared" si="63"/>
        <v>313</v>
      </c>
      <c r="V49" s="139">
        <f t="shared" si="63"/>
        <v>347</v>
      </c>
      <c r="W49" s="140">
        <f t="shared" si="63"/>
        <v>9</v>
      </c>
      <c r="X49" s="142" t="s">
        <v>20</v>
      </c>
      <c r="Y49" s="141">
        <f t="shared" si="64"/>
        <v>343</v>
      </c>
      <c r="AA49" s="50" t="str">
        <f t="shared" si="65"/>
        <v>NA</v>
      </c>
      <c r="AB49" s="50" t="str">
        <f t="shared" si="66"/>
        <v>NA</v>
      </c>
      <c r="AC49" s="50" t="str">
        <f t="shared" si="67"/>
        <v>NA</v>
      </c>
      <c r="AD49" s="50" t="str">
        <f t="shared" si="68"/>
        <v>NA</v>
      </c>
      <c r="AE49" s="50" t="str">
        <f t="shared" si="69"/>
        <v>NA</v>
      </c>
      <c r="AF49" s="50" t="str">
        <f t="shared" si="70"/>
        <v>NA</v>
      </c>
      <c r="AV49" s="127" t="s">
        <v>79</v>
      </c>
    </row>
    <row r="50" spans="2:48" s="39" customFormat="1" ht="14.1" customHeight="1">
      <c r="B50" s="139">
        <f t="shared" si="78"/>
        <v>195</v>
      </c>
      <c r="C50" s="140">
        <f t="shared" si="78"/>
        <v>10</v>
      </c>
      <c r="D50" s="142" t="s">
        <v>20</v>
      </c>
      <c r="E50" s="141">
        <f t="shared" si="60"/>
        <v>191</v>
      </c>
      <c r="F50" s="139">
        <f t="shared" si="60"/>
        <v>226</v>
      </c>
      <c r="G50" s="140">
        <f t="shared" si="60"/>
        <v>10</v>
      </c>
      <c r="H50" s="143" t="s">
        <v>20</v>
      </c>
      <c r="I50" s="141">
        <f t="shared" si="71"/>
        <v>222</v>
      </c>
      <c r="J50" s="139">
        <f t="shared" si="71"/>
        <v>257</v>
      </c>
      <c r="K50" s="140">
        <f t="shared" si="71"/>
        <v>10</v>
      </c>
      <c r="L50" s="142" t="s">
        <v>20</v>
      </c>
      <c r="M50" s="141">
        <f t="shared" si="61"/>
        <v>253</v>
      </c>
      <c r="N50" s="35">
        <f t="shared" si="61"/>
        <v>287</v>
      </c>
      <c r="O50" s="108">
        <f t="shared" si="61"/>
        <v>10</v>
      </c>
      <c r="P50" s="138" t="s">
        <v>20</v>
      </c>
      <c r="Q50" s="131">
        <f t="shared" ref="Q50" si="81">Q49+1</f>
        <v>283</v>
      </c>
      <c r="R50" s="139">
        <f t="shared" si="62"/>
        <v>318</v>
      </c>
      <c r="S50" s="140">
        <f t="shared" si="62"/>
        <v>10</v>
      </c>
      <c r="T50" s="143" t="s">
        <v>20</v>
      </c>
      <c r="U50" s="141">
        <f t="shared" si="63"/>
        <v>314</v>
      </c>
      <c r="V50" s="139">
        <f t="shared" ref="V50:W50" si="82">V49+1</f>
        <v>348</v>
      </c>
      <c r="W50" s="140">
        <f t="shared" si="82"/>
        <v>10</v>
      </c>
      <c r="X50" s="142" t="s">
        <v>20</v>
      </c>
      <c r="Y50" s="141">
        <f t="shared" si="64"/>
        <v>344</v>
      </c>
      <c r="AA50" s="50" t="str">
        <f t="shared" si="65"/>
        <v>NA</v>
      </c>
      <c r="AB50" s="50" t="str">
        <f t="shared" si="66"/>
        <v>NA</v>
      </c>
      <c r="AC50" s="50" t="str">
        <f t="shared" si="67"/>
        <v>NA</v>
      </c>
      <c r="AD50" s="50" t="str">
        <f t="shared" si="68"/>
        <v>NA</v>
      </c>
      <c r="AE50" s="50" t="str">
        <f t="shared" si="69"/>
        <v>NA</v>
      </c>
      <c r="AF50" s="50" t="str">
        <f t="shared" si="70"/>
        <v>NA</v>
      </c>
      <c r="AV50" s="39" t="s">
        <v>80</v>
      </c>
    </row>
    <row r="51" spans="2:48" s="39" customFormat="1" ht="14.1" customHeight="1">
      <c r="B51" s="35">
        <f t="shared" ref="B51:C51" si="83">B50+1</f>
        <v>196</v>
      </c>
      <c r="C51" s="108">
        <f t="shared" si="83"/>
        <v>11</v>
      </c>
      <c r="D51" s="138" t="s">
        <v>20</v>
      </c>
      <c r="E51" s="131">
        <f t="shared" si="60"/>
        <v>192</v>
      </c>
      <c r="F51" s="139">
        <f t="shared" si="60"/>
        <v>227</v>
      </c>
      <c r="G51" s="140">
        <f t="shared" si="60"/>
        <v>11</v>
      </c>
      <c r="H51" s="143" t="s">
        <v>20</v>
      </c>
      <c r="I51" s="141">
        <f t="shared" si="71"/>
        <v>223</v>
      </c>
      <c r="J51" s="139">
        <f t="shared" si="71"/>
        <v>258</v>
      </c>
      <c r="K51" s="140">
        <f t="shared" si="71"/>
        <v>11</v>
      </c>
      <c r="L51" s="142" t="s">
        <v>20</v>
      </c>
      <c r="M51" s="141">
        <f t="shared" si="61"/>
        <v>254</v>
      </c>
      <c r="N51" s="35">
        <f t="shared" si="61"/>
        <v>288</v>
      </c>
      <c r="O51" s="108">
        <f t="shared" si="61"/>
        <v>11</v>
      </c>
      <c r="P51" s="138" t="s">
        <v>20</v>
      </c>
      <c r="Q51" s="131">
        <f t="shared" ref="Q51" si="84">Q50+1</f>
        <v>284</v>
      </c>
      <c r="R51" s="139">
        <f t="shared" si="62"/>
        <v>319</v>
      </c>
      <c r="S51" s="140">
        <f t="shared" si="62"/>
        <v>11</v>
      </c>
      <c r="T51" s="142" t="s">
        <v>20</v>
      </c>
      <c r="U51" s="200">
        <f t="shared" si="63"/>
        <v>315</v>
      </c>
      <c r="V51" s="139">
        <f t="shared" ref="V51:W51" si="85">V50+1</f>
        <v>349</v>
      </c>
      <c r="W51" s="140">
        <f t="shared" si="85"/>
        <v>11</v>
      </c>
      <c r="X51" s="142" t="s">
        <v>20</v>
      </c>
      <c r="Y51" s="141">
        <f t="shared" si="64"/>
        <v>345</v>
      </c>
      <c r="AA51" s="50" t="str">
        <f t="shared" si="65"/>
        <v>NA</v>
      </c>
      <c r="AB51" s="50" t="str">
        <f t="shared" si="66"/>
        <v>NA</v>
      </c>
      <c r="AC51" s="50" t="str">
        <f t="shared" si="67"/>
        <v>NA</v>
      </c>
      <c r="AD51" s="50" t="str">
        <f t="shared" si="68"/>
        <v>NA</v>
      </c>
      <c r="AE51" s="50" t="str">
        <f t="shared" si="69"/>
        <v>NA</v>
      </c>
      <c r="AF51" s="50" t="str">
        <f t="shared" si="70"/>
        <v>NA</v>
      </c>
      <c r="AV51" s="127" t="s">
        <v>81</v>
      </c>
    </row>
    <row r="52" spans="2:48" s="39" customFormat="1" ht="14.1" customHeight="1">
      <c r="B52" s="35">
        <f t="shared" ref="B52:C54" si="86">B51+1</f>
        <v>197</v>
      </c>
      <c r="C52" s="108">
        <f t="shared" si="86"/>
        <v>12</v>
      </c>
      <c r="D52" s="138" t="s">
        <v>20</v>
      </c>
      <c r="E52" s="131">
        <f t="shared" si="60"/>
        <v>193</v>
      </c>
      <c r="F52" s="139">
        <f t="shared" si="60"/>
        <v>228</v>
      </c>
      <c r="G52" s="140">
        <f t="shared" si="60"/>
        <v>12</v>
      </c>
      <c r="H52" s="142" t="s">
        <v>20</v>
      </c>
      <c r="I52" s="141">
        <f t="shared" si="71"/>
        <v>224</v>
      </c>
      <c r="J52" s="35">
        <f t="shared" si="71"/>
        <v>259</v>
      </c>
      <c r="K52" s="108">
        <f t="shared" si="71"/>
        <v>12</v>
      </c>
      <c r="L52" s="138" t="s">
        <v>20</v>
      </c>
      <c r="M52" s="36">
        <f t="shared" si="61"/>
        <v>255</v>
      </c>
      <c r="N52" s="139">
        <f t="shared" si="61"/>
        <v>289</v>
      </c>
      <c r="O52" s="140">
        <f>O51+1</f>
        <v>12</v>
      </c>
      <c r="P52" s="143" t="s">
        <v>20</v>
      </c>
      <c r="Q52" s="141">
        <f t="shared" si="62"/>
        <v>285</v>
      </c>
      <c r="R52" s="139">
        <f t="shared" si="62"/>
        <v>320</v>
      </c>
      <c r="S52" s="140">
        <f t="shared" si="62"/>
        <v>12</v>
      </c>
      <c r="T52" s="142" t="s">
        <v>20</v>
      </c>
      <c r="U52" s="200">
        <f t="shared" si="63"/>
        <v>316</v>
      </c>
      <c r="V52" s="35">
        <f t="shared" si="63"/>
        <v>350</v>
      </c>
      <c r="W52" s="108">
        <f t="shared" si="63"/>
        <v>12</v>
      </c>
      <c r="X52" s="138" t="s">
        <v>20</v>
      </c>
      <c r="Y52" s="36">
        <f t="shared" ref="Y52" si="87">Y51+1</f>
        <v>346</v>
      </c>
      <c r="AA52" s="50" t="str">
        <f t="shared" si="65"/>
        <v>NA</v>
      </c>
      <c r="AB52" s="50" t="str">
        <f t="shared" si="66"/>
        <v>NA</v>
      </c>
      <c r="AC52" s="50" t="str">
        <f t="shared" si="67"/>
        <v>NA</v>
      </c>
      <c r="AD52" s="50" t="str">
        <f t="shared" si="68"/>
        <v>NA</v>
      </c>
      <c r="AE52" s="50" t="str">
        <f t="shared" si="69"/>
        <v>NA</v>
      </c>
      <c r="AF52" s="50" t="str">
        <f t="shared" si="70"/>
        <v>NA</v>
      </c>
      <c r="AV52" s="127" t="s">
        <v>86</v>
      </c>
    </row>
    <row r="53" spans="2:48" s="39" customFormat="1" ht="14.1" customHeight="1">
      <c r="B53" s="139">
        <f t="shared" si="86"/>
        <v>198</v>
      </c>
      <c r="C53" s="140">
        <f t="shared" si="86"/>
        <v>13</v>
      </c>
      <c r="D53" s="143" t="s">
        <v>20</v>
      </c>
      <c r="E53" s="141">
        <f t="shared" si="60"/>
        <v>194</v>
      </c>
      <c r="F53" s="139">
        <f t="shared" ref="F53:G53" si="88">F52+1</f>
        <v>229</v>
      </c>
      <c r="G53" s="140">
        <f t="shared" si="88"/>
        <v>13</v>
      </c>
      <c r="H53" s="142" t="s">
        <v>20</v>
      </c>
      <c r="I53" s="141">
        <f t="shared" ref="I53:K53" si="89">I52+1</f>
        <v>225</v>
      </c>
      <c r="J53" s="35">
        <f t="shared" si="89"/>
        <v>260</v>
      </c>
      <c r="K53" s="108">
        <f t="shared" si="89"/>
        <v>13</v>
      </c>
      <c r="L53" s="138" t="s">
        <v>20</v>
      </c>
      <c r="M53" s="179">
        <f t="shared" si="61"/>
        <v>256</v>
      </c>
      <c r="N53" s="139">
        <f t="shared" si="61"/>
        <v>290</v>
      </c>
      <c r="O53" s="140">
        <f>O52+1</f>
        <v>13</v>
      </c>
      <c r="P53" s="143" t="s">
        <v>20</v>
      </c>
      <c r="Q53" s="141">
        <f t="shared" si="62"/>
        <v>286</v>
      </c>
      <c r="R53" s="139">
        <f t="shared" si="62"/>
        <v>321</v>
      </c>
      <c r="S53" s="140">
        <f t="shared" si="62"/>
        <v>13</v>
      </c>
      <c r="T53" s="142" t="s">
        <v>20</v>
      </c>
      <c r="U53" s="141">
        <f t="shared" si="63"/>
        <v>317</v>
      </c>
      <c r="V53" s="35">
        <f t="shared" si="63"/>
        <v>351</v>
      </c>
      <c r="W53" s="108">
        <f t="shared" si="63"/>
        <v>13</v>
      </c>
      <c r="X53" s="138" t="s">
        <v>20</v>
      </c>
      <c r="Y53" s="193">
        <f t="shared" ref="Y53" si="90">Y52+1</f>
        <v>347</v>
      </c>
      <c r="AA53" s="50" t="str">
        <f t="shared" si="65"/>
        <v>NA</v>
      </c>
      <c r="AB53" s="50" t="str">
        <f t="shared" si="66"/>
        <v>NA</v>
      </c>
      <c r="AC53" s="50" t="str">
        <f t="shared" si="67"/>
        <v>NA</v>
      </c>
      <c r="AD53" s="50" t="str">
        <f t="shared" si="68"/>
        <v>NA</v>
      </c>
      <c r="AE53" s="50" t="str">
        <f t="shared" si="69"/>
        <v>NA</v>
      </c>
      <c r="AF53" s="50" t="str">
        <f t="shared" si="70"/>
        <v>NA</v>
      </c>
      <c r="AV53" s="127" t="s">
        <v>87</v>
      </c>
    </row>
    <row r="54" spans="2:48" s="39" customFormat="1" ht="14.1" customHeight="1">
      <c r="B54" s="139">
        <f t="shared" si="86"/>
        <v>199</v>
      </c>
      <c r="C54" s="140">
        <f t="shared" si="86"/>
        <v>14</v>
      </c>
      <c r="D54" s="143" t="s">
        <v>20</v>
      </c>
      <c r="E54" s="141">
        <f t="shared" si="60"/>
        <v>195</v>
      </c>
      <c r="F54" s="139">
        <f t="shared" ref="F54:G54" si="91">F53+1</f>
        <v>230</v>
      </c>
      <c r="G54" s="140">
        <f t="shared" si="91"/>
        <v>14</v>
      </c>
      <c r="H54" s="142" t="s">
        <v>20</v>
      </c>
      <c r="I54" s="141">
        <f t="shared" ref="I54" si="92">I53+1</f>
        <v>226</v>
      </c>
      <c r="J54" s="139">
        <f t="shared" si="71"/>
        <v>261</v>
      </c>
      <c r="K54" s="140">
        <f t="shared" si="71"/>
        <v>14</v>
      </c>
      <c r="L54" s="143" t="s">
        <v>20</v>
      </c>
      <c r="M54" s="141">
        <f t="shared" si="61"/>
        <v>257</v>
      </c>
      <c r="N54" s="139">
        <f t="shared" si="61"/>
        <v>291</v>
      </c>
      <c r="O54" s="140">
        <f t="shared" si="61"/>
        <v>14</v>
      </c>
      <c r="P54" s="142" t="s">
        <v>20</v>
      </c>
      <c r="Q54" s="198">
        <f t="shared" si="62"/>
        <v>287</v>
      </c>
      <c r="R54" s="35">
        <f t="shared" si="62"/>
        <v>322</v>
      </c>
      <c r="S54" s="108">
        <f t="shared" si="62"/>
        <v>14</v>
      </c>
      <c r="T54" s="138" t="s">
        <v>20</v>
      </c>
      <c r="U54" s="36">
        <f t="shared" si="63"/>
        <v>318</v>
      </c>
      <c r="V54" s="139">
        <f t="shared" si="63"/>
        <v>352</v>
      </c>
      <c r="W54" s="140">
        <f t="shared" si="63"/>
        <v>14</v>
      </c>
      <c r="X54" s="143" t="s">
        <v>20</v>
      </c>
      <c r="Y54" s="141">
        <f t="shared" si="64"/>
        <v>348</v>
      </c>
      <c r="AA54" s="50" t="str">
        <f t="shared" si="65"/>
        <v>NA</v>
      </c>
      <c r="AB54" s="50" t="str">
        <f t="shared" si="66"/>
        <v>NA</v>
      </c>
      <c r="AC54" s="50" t="str">
        <f t="shared" si="67"/>
        <v>NA</v>
      </c>
      <c r="AD54" s="50" t="str">
        <f t="shared" si="68"/>
        <v>NA</v>
      </c>
      <c r="AE54" s="50" t="str">
        <f t="shared" si="69"/>
        <v>NA</v>
      </c>
      <c r="AF54" s="50" t="str">
        <f t="shared" si="70"/>
        <v>NA</v>
      </c>
      <c r="AV54" s="128" t="s">
        <v>88</v>
      </c>
    </row>
    <row r="55" spans="2:48" s="39" customFormat="1" ht="14.1" customHeight="1">
      <c r="B55" s="139">
        <f t="shared" si="78"/>
        <v>200</v>
      </c>
      <c r="C55" s="140">
        <f t="shared" si="78"/>
        <v>15</v>
      </c>
      <c r="D55" s="142" t="s">
        <v>20</v>
      </c>
      <c r="E55" s="198">
        <f t="shared" si="60"/>
        <v>196</v>
      </c>
      <c r="F55" s="35">
        <f t="shared" si="60"/>
        <v>231</v>
      </c>
      <c r="G55" s="108">
        <f t="shared" si="60"/>
        <v>15</v>
      </c>
      <c r="H55" s="138" t="s">
        <v>20</v>
      </c>
      <c r="I55" s="130">
        <f t="shared" ref="I55" si="93">I54+1</f>
        <v>227</v>
      </c>
      <c r="J55" s="139">
        <f t="shared" si="71"/>
        <v>262</v>
      </c>
      <c r="K55" s="140">
        <f t="shared" si="71"/>
        <v>15</v>
      </c>
      <c r="L55" s="143" t="s">
        <v>20</v>
      </c>
      <c r="M55" s="141">
        <f t="shared" si="61"/>
        <v>258</v>
      </c>
      <c r="N55" s="139">
        <f t="shared" si="61"/>
        <v>292</v>
      </c>
      <c r="O55" s="140">
        <f t="shared" si="61"/>
        <v>15</v>
      </c>
      <c r="P55" s="142" t="s">
        <v>20</v>
      </c>
      <c r="Q55" s="198">
        <f t="shared" si="62"/>
        <v>288</v>
      </c>
      <c r="R55" s="35">
        <f t="shared" si="62"/>
        <v>323</v>
      </c>
      <c r="S55" s="108">
        <f t="shared" si="62"/>
        <v>15</v>
      </c>
      <c r="T55" s="138" t="s">
        <v>20</v>
      </c>
      <c r="U55" s="193">
        <f t="shared" si="63"/>
        <v>319</v>
      </c>
      <c r="V55" s="139">
        <f t="shared" si="63"/>
        <v>353</v>
      </c>
      <c r="W55" s="140">
        <f t="shared" si="63"/>
        <v>15</v>
      </c>
      <c r="X55" s="143" t="s">
        <v>20</v>
      </c>
      <c r="Y55" s="141">
        <f t="shared" si="64"/>
        <v>349</v>
      </c>
      <c r="AA55" s="50" t="str">
        <f t="shared" si="65"/>
        <v>NA</v>
      </c>
      <c r="AB55" s="50" t="str">
        <f t="shared" si="66"/>
        <v>NA</v>
      </c>
      <c r="AC55" s="50" t="str">
        <f t="shared" si="67"/>
        <v>NA</v>
      </c>
      <c r="AD55" s="50" t="str">
        <f t="shared" si="68"/>
        <v>NA</v>
      </c>
      <c r="AE55" s="50" t="str">
        <f t="shared" si="69"/>
        <v>NA</v>
      </c>
      <c r="AF55" s="50" t="str">
        <f t="shared" si="70"/>
        <v>NA</v>
      </c>
      <c r="AV55" s="39" t="s">
        <v>89</v>
      </c>
    </row>
    <row r="56" spans="2:48" s="39" customFormat="1" ht="14.1" customHeight="1">
      <c r="B56" s="139">
        <f t="shared" si="78"/>
        <v>201</v>
      </c>
      <c r="C56" s="140">
        <f t="shared" si="78"/>
        <v>16</v>
      </c>
      <c r="D56" s="142" t="s">
        <v>20</v>
      </c>
      <c r="E56" s="198">
        <f t="shared" ref="E56:G56" si="94">E55+1</f>
        <v>197</v>
      </c>
      <c r="F56" s="35">
        <f t="shared" si="94"/>
        <v>232</v>
      </c>
      <c r="G56" s="108">
        <f t="shared" si="94"/>
        <v>16</v>
      </c>
      <c r="H56" s="138" t="s">
        <v>20</v>
      </c>
      <c r="I56" s="130">
        <f t="shared" ref="I56" si="95">I55+1</f>
        <v>228</v>
      </c>
      <c r="J56" s="139">
        <f t="shared" si="71"/>
        <v>263</v>
      </c>
      <c r="K56" s="140">
        <f t="shared" si="71"/>
        <v>16</v>
      </c>
      <c r="L56" s="142" t="s">
        <v>20</v>
      </c>
      <c r="M56" s="199">
        <f t="shared" si="61"/>
        <v>259</v>
      </c>
      <c r="N56" s="139">
        <f t="shared" si="61"/>
        <v>293</v>
      </c>
      <c r="O56" s="140">
        <f t="shared" si="61"/>
        <v>16</v>
      </c>
      <c r="P56" s="142" t="s">
        <v>20</v>
      </c>
      <c r="Q56" s="141">
        <f t="shared" si="62"/>
        <v>289</v>
      </c>
      <c r="R56" s="139">
        <f t="shared" si="62"/>
        <v>324</v>
      </c>
      <c r="S56" s="140">
        <f t="shared" si="62"/>
        <v>16</v>
      </c>
      <c r="T56" s="143" t="s">
        <v>20</v>
      </c>
      <c r="U56" s="141">
        <f t="shared" si="63"/>
        <v>320</v>
      </c>
      <c r="V56" s="139">
        <f t="shared" si="63"/>
        <v>354</v>
      </c>
      <c r="W56" s="140">
        <f t="shared" si="63"/>
        <v>16</v>
      </c>
      <c r="X56" s="142" t="s">
        <v>20</v>
      </c>
      <c r="Y56" s="141">
        <f t="shared" si="64"/>
        <v>350</v>
      </c>
      <c r="AA56" s="50" t="str">
        <f t="shared" si="65"/>
        <v>NA</v>
      </c>
      <c r="AB56" s="50" t="str">
        <f t="shared" si="66"/>
        <v>NA</v>
      </c>
      <c r="AC56" s="50" t="str">
        <f t="shared" si="67"/>
        <v>NA</v>
      </c>
      <c r="AD56" s="50" t="str">
        <f t="shared" si="68"/>
        <v>NA</v>
      </c>
      <c r="AE56" s="50" t="str">
        <f t="shared" si="69"/>
        <v>NA</v>
      </c>
      <c r="AF56" s="50" t="str">
        <f t="shared" si="70"/>
        <v>NA</v>
      </c>
      <c r="AV56" s="128"/>
    </row>
    <row r="57" spans="2:48" s="39" customFormat="1" ht="14.1" customHeight="1">
      <c r="B57" s="139">
        <f t="shared" si="78"/>
        <v>202</v>
      </c>
      <c r="C57" s="140">
        <f t="shared" si="78"/>
        <v>17</v>
      </c>
      <c r="D57" s="142" t="s">
        <v>20</v>
      </c>
      <c r="E57" s="141">
        <f t="shared" ref="E57:E59" si="96">E56+1</f>
        <v>198</v>
      </c>
      <c r="F57" s="139">
        <f t="shared" si="60"/>
        <v>233</v>
      </c>
      <c r="G57" s="140">
        <f t="shared" si="60"/>
        <v>17</v>
      </c>
      <c r="H57" s="143" t="s">
        <v>20</v>
      </c>
      <c r="I57" s="141">
        <f t="shared" si="71"/>
        <v>229</v>
      </c>
      <c r="J57" s="139">
        <f t="shared" si="71"/>
        <v>264</v>
      </c>
      <c r="K57" s="140">
        <f t="shared" si="71"/>
        <v>17</v>
      </c>
      <c r="L57" s="142" t="s">
        <v>20</v>
      </c>
      <c r="M57" s="199">
        <f t="shared" si="61"/>
        <v>260</v>
      </c>
      <c r="N57" s="35">
        <f t="shared" si="61"/>
        <v>294</v>
      </c>
      <c r="O57" s="108">
        <f t="shared" si="61"/>
        <v>17</v>
      </c>
      <c r="P57" s="138" t="s">
        <v>20</v>
      </c>
      <c r="Q57" s="36">
        <f t="shared" ref="Q57" si="97">Q56+1</f>
        <v>290</v>
      </c>
      <c r="R57" s="139">
        <f t="shared" si="62"/>
        <v>325</v>
      </c>
      <c r="S57" s="140">
        <f t="shared" si="62"/>
        <v>17</v>
      </c>
      <c r="T57" s="143" t="s">
        <v>20</v>
      </c>
      <c r="U57" s="141">
        <f t="shared" si="63"/>
        <v>321</v>
      </c>
      <c r="V57" s="139">
        <f t="shared" si="63"/>
        <v>355</v>
      </c>
      <c r="W57" s="140">
        <f t="shared" si="63"/>
        <v>17</v>
      </c>
      <c r="X57" s="142" t="s">
        <v>20</v>
      </c>
      <c r="Y57" s="141">
        <f t="shared" si="64"/>
        <v>351</v>
      </c>
      <c r="AA57" s="50" t="str">
        <f t="shared" si="65"/>
        <v>NA</v>
      </c>
      <c r="AB57" s="50" t="str">
        <f t="shared" si="66"/>
        <v>NA</v>
      </c>
      <c r="AC57" s="50" t="str">
        <f t="shared" si="67"/>
        <v>NA</v>
      </c>
      <c r="AD57" s="50" t="str">
        <f t="shared" si="68"/>
        <v>NA</v>
      </c>
      <c r="AE57" s="50" t="str">
        <f t="shared" si="69"/>
        <v>NA</v>
      </c>
      <c r="AF57" s="50" t="str">
        <f t="shared" si="70"/>
        <v>NA</v>
      </c>
    </row>
    <row r="58" spans="2:48" s="39" customFormat="1" ht="14.1" customHeight="1">
      <c r="B58" s="35">
        <f t="shared" ref="B58:C58" si="98">B57+1</f>
        <v>203</v>
      </c>
      <c r="C58" s="108">
        <f t="shared" si="98"/>
        <v>18</v>
      </c>
      <c r="D58" s="138" t="s">
        <v>20</v>
      </c>
      <c r="E58" s="131">
        <f t="shared" si="96"/>
        <v>199</v>
      </c>
      <c r="F58" s="139">
        <f t="shared" si="60"/>
        <v>234</v>
      </c>
      <c r="G58" s="140">
        <f t="shared" si="60"/>
        <v>18</v>
      </c>
      <c r="H58" s="143" t="s">
        <v>20</v>
      </c>
      <c r="I58" s="141">
        <f t="shared" si="71"/>
        <v>230</v>
      </c>
      <c r="J58" s="139">
        <f t="shared" si="71"/>
        <v>265</v>
      </c>
      <c r="K58" s="140">
        <f t="shared" si="71"/>
        <v>18</v>
      </c>
      <c r="L58" s="142" t="s">
        <v>20</v>
      </c>
      <c r="M58" s="141">
        <f t="shared" si="61"/>
        <v>261</v>
      </c>
      <c r="N58" s="35">
        <f t="shared" si="61"/>
        <v>295</v>
      </c>
      <c r="O58" s="108">
        <f t="shared" si="61"/>
        <v>18</v>
      </c>
      <c r="P58" s="138" t="s">
        <v>20</v>
      </c>
      <c r="Q58" s="178">
        <f t="shared" ref="Q58" si="99">Q57+1</f>
        <v>291</v>
      </c>
      <c r="R58" s="139">
        <f t="shared" si="62"/>
        <v>326</v>
      </c>
      <c r="S58" s="140">
        <f t="shared" si="62"/>
        <v>18</v>
      </c>
      <c r="T58" s="142" t="s">
        <v>20</v>
      </c>
      <c r="U58" s="200">
        <f t="shared" si="63"/>
        <v>322</v>
      </c>
      <c r="V58" s="139">
        <f t="shared" si="63"/>
        <v>356</v>
      </c>
      <c r="W58" s="140">
        <f t="shared" si="63"/>
        <v>18</v>
      </c>
      <c r="X58" s="142" t="s">
        <v>20</v>
      </c>
      <c r="Y58" s="141">
        <f t="shared" si="64"/>
        <v>352</v>
      </c>
      <c r="AA58" s="50" t="str">
        <f t="shared" si="65"/>
        <v>NA</v>
      </c>
      <c r="AB58" s="50" t="str">
        <f t="shared" si="66"/>
        <v>NA</v>
      </c>
      <c r="AC58" s="50" t="str">
        <f t="shared" si="67"/>
        <v>NA</v>
      </c>
      <c r="AD58" s="50" t="str">
        <f t="shared" si="68"/>
        <v>NA</v>
      </c>
      <c r="AE58" s="50" t="str">
        <f t="shared" si="69"/>
        <v>NA</v>
      </c>
      <c r="AF58" s="50" t="str">
        <f t="shared" si="70"/>
        <v>NA</v>
      </c>
    </row>
    <row r="59" spans="2:48" s="39" customFormat="1" ht="14.1" customHeight="1">
      <c r="B59" s="35">
        <f t="shared" ref="B59:C61" si="100">B58+1</f>
        <v>204</v>
      </c>
      <c r="C59" s="108">
        <f t="shared" si="100"/>
        <v>19</v>
      </c>
      <c r="D59" s="138" t="s">
        <v>20</v>
      </c>
      <c r="E59" s="131">
        <f t="shared" si="96"/>
        <v>200</v>
      </c>
      <c r="F59" s="139">
        <f t="shared" si="60"/>
        <v>235</v>
      </c>
      <c r="G59" s="140">
        <f t="shared" si="60"/>
        <v>19</v>
      </c>
      <c r="H59" s="142" t="s">
        <v>20</v>
      </c>
      <c r="I59" s="141">
        <f t="shared" si="71"/>
        <v>231</v>
      </c>
      <c r="J59" s="35">
        <f t="shared" si="71"/>
        <v>266</v>
      </c>
      <c r="K59" s="108">
        <f t="shared" si="71"/>
        <v>19</v>
      </c>
      <c r="L59" s="138" t="s">
        <v>20</v>
      </c>
      <c r="M59" s="36">
        <f t="shared" si="61"/>
        <v>262</v>
      </c>
      <c r="N59" s="139">
        <f t="shared" si="61"/>
        <v>296</v>
      </c>
      <c r="O59" s="140">
        <f>O58+1</f>
        <v>19</v>
      </c>
      <c r="P59" s="143" t="s">
        <v>20</v>
      </c>
      <c r="Q59" s="141">
        <f t="shared" si="62"/>
        <v>292</v>
      </c>
      <c r="R59" s="139">
        <f t="shared" si="62"/>
        <v>327</v>
      </c>
      <c r="S59" s="140">
        <f t="shared" si="62"/>
        <v>19</v>
      </c>
      <c r="T59" s="142" t="s">
        <v>20</v>
      </c>
      <c r="U59" s="200">
        <f t="shared" si="63"/>
        <v>323</v>
      </c>
      <c r="V59" s="35">
        <f t="shared" si="63"/>
        <v>357</v>
      </c>
      <c r="W59" s="108">
        <f t="shared" si="63"/>
        <v>19</v>
      </c>
      <c r="X59" s="138" t="s">
        <v>20</v>
      </c>
      <c r="Y59" s="36">
        <f t="shared" ref="Y59" si="101">Y58+1</f>
        <v>353</v>
      </c>
      <c r="AA59" s="50" t="str">
        <f t="shared" si="65"/>
        <v>NA</v>
      </c>
      <c r="AB59" s="50" t="str">
        <f t="shared" si="66"/>
        <v>NA</v>
      </c>
      <c r="AC59" s="50" t="str">
        <f t="shared" si="67"/>
        <v>NA</v>
      </c>
      <c r="AD59" s="50" t="str">
        <f t="shared" si="68"/>
        <v>NA</v>
      </c>
      <c r="AE59" s="50" t="str">
        <f t="shared" si="69"/>
        <v>NA</v>
      </c>
      <c r="AF59" s="50" t="str">
        <f t="shared" si="70"/>
        <v>NA</v>
      </c>
    </row>
    <row r="60" spans="2:48" s="39" customFormat="1" ht="14.1" customHeight="1">
      <c r="B60" s="139">
        <f t="shared" si="100"/>
        <v>205</v>
      </c>
      <c r="C60" s="140">
        <f t="shared" si="100"/>
        <v>20</v>
      </c>
      <c r="D60" s="143" t="s">
        <v>20</v>
      </c>
      <c r="E60" s="141">
        <f t="shared" si="60"/>
        <v>201</v>
      </c>
      <c r="F60" s="139">
        <f t="shared" si="60"/>
        <v>236</v>
      </c>
      <c r="G60" s="140">
        <f t="shared" si="60"/>
        <v>20</v>
      </c>
      <c r="H60" s="142" t="s">
        <v>20</v>
      </c>
      <c r="I60" s="141">
        <f t="shared" si="71"/>
        <v>232</v>
      </c>
      <c r="J60" s="35">
        <f t="shared" si="71"/>
        <v>267</v>
      </c>
      <c r="K60" s="108">
        <f t="shared" si="71"/>
        <v>20</v>
      </c>
      <c r="L60" s="138" t="s">
        <v>20</v>
      </c>
      <c r="M60" s="179">
        <f t="shared" si="61"/>
        <v>263</v>
      </c>
      <c r="N60" s="139">
        <f t="shared" si="61"/>
        <v>297</v>
      </c>
      <c r="O60" s="140">
        <f>O59+1</f>
        <v>20</v>
      </c>
      <c r="P60" s="143" t="s">
        <v>20</v>
      </c>
      <c r="Q60" s="141">
        <f t="shared" si="62"/>
        <v>293</v>
      </c>
      <c r="R60" s="139">
        <f t="shared" si="62"/>
        <v>328</v>
      </c>
      <c r="S60" s="140">
        <f t="shared" si="62"/>
        <v>20</v>
      </c>
      <c r="T60" s="142" t="s">
        <v>20</v>
      </c>
      <c r="U60" s="141">
        <f t="shared" si="63"/>
        <v>324</v>
      </c>
      <c r="V60" s="35">
        <f t="shared" si="63"/>
        <v>358</v>
      </c>
      <c r="W60" s="108">
        <f t="shared" si="63"/>
        <v>20</v>
      </c>
      <c r="X60" s="145" t="s">
        <v>20</v>
      </c>
      <c r="Y60" s="193">
        <f t="shared" ref="Y60" si="102">Y59+1</f>
        <v>354</v>
      </c>
      <c r="AA60" s="50" t="str">
        <f t="shared" si="65"/>
        <v>NA</v>
      </c>
      <c r="AB60" s="50" t="str">
        <f t="shared" si="66"/>
        <v>NA</v>
      </c>
      <c r="AC60" s="50" t="str">
        <f t="shared" si="67"/>
        <v>NA</v>
      </c>
      <c r="AD60" s="50" t="str">
        <f t="shared" si="68"/>
        <v>NA</v>
      </c>
      <c r="AE60" s="50" t="str">
        <f t="shared" si="69"/>
        <v>NA</v>
      </c>
      <c r="AF60" s="50" t="str">
        <f t="shared" si="70"/>
        <v>NA</v>
      </c>
    </row>
    <row r="61" spans="2:48" s="39" customFormat="1" ht="14.1" customHeight="1">
      <c r="B61" s="139">
        <f t="shared" si="100"/>
        <v>206</v>
      </c>
      <c r="C61" s="140">
        <f t="shared" si="100"/>
        <v>21</v>
      </c>
      <c r="D61" s="143" t="s">
        <v>20</v>
      </c>
      <c r="E61" s="141">
        <f t="shared" si="60"/>
        <v>202</v>
      </c>
      <c r="F61" s="139">
        <f t="shared" si="60"/>
        <v>237</v>
      </c>
      <c r="G61" s="140">
        <f t="shared" si="60"/>
        <v>21</v>
      </c>
      <c r="H61" s="142" t="s">
        <v>20</v>
      </c>
      <c r="I61" s="141">
        <f t="shared" si="71"/>
        <v>233</v>
      </c>
      <c r="J61" s="139">
        <f t="shared" si="71"/>
        <v>268</v>
      </c>
      <c r="K61" s="140">
        <f t="shared" si="71"/>
        <v>21</v>
      </c>
      <c r="L61" s="143" t="s">
        <v>20</v>
      </c>
      <c r="M61" s="141">
        <f t="shared" si="61"/>
        <v>264</v>
      </c>
      <c r="N61" s="139">
        <f t="shared" si="61"/>
        <v>298</v>
      </c>
      <c r="O61" s="140">
        <f t="shared" si="61"/>
        <v>21</v>
      </c>
      <c r="P61" s="142" t="s">
        <v>20</v>
      </c>
      <c r="Q61" s="201">
        <f t="shared" si="62"/>
        <v>294</v>
      </c>
      <c r="R61" s="35">
        <f t="shared" si="62"/>
        <v>329</v>
      </c>
      <c r="S61" s="108">
        <f t="shared" si="62"/>
        <v>21</v>
      </c>
      <c r="T61" s="138" t="s">
        <v>20</v>
      </c>
      <c r="U61" s="36">
        <f t="shared" si="63"/>
        <v>325</v>
      </c>
      <c r="V61" s="139">
        <f t="shared" si="63"/>
        <v>359</v>
      </c>
      <c r="W61" s="140">
        <f t="shared" si="63"/>
        <v>21</v>
      </c>
      <c r="X61" s="143" t="s">
        <v>20</v>
      </c>
      <c r="Y61" s="141">
        <f t="shared" si="64"/>
        <v>355</v>
      </c>
      <c r="AA61" s="50" t="str">
        <f t="shared" si="65"/>
        <v>NA</v>
      </c>
      <c r="AB61" s="50" t="str">
        <f t="shared" si="66"/>
        <v>NA</v>
      </c>
      <c r="AC61" s="50" t="str">
        <f t="shared" si="67"/>
        <v>NA</v>
      </c>
      <c r="AD61" s="50" t="str">
        <f t="shared" si="68"/>
        <v>NA</v>
      </c>
      <c r="AE61" s="50" t="str">
        <f t="shared" si="69"/>
        <v>NA</v>
      </c>
      <c r="AF61" s="50" t="str">
        <f t="shared" si="70"/>
        <v>NA</v>
      </c>
    </row>
    <row r="62" spans="2:48" s="39" customFormat="1" ht="14.1" customHeight="1">
      <c r="B62" s="139">
        <f t="shared" si="78"/>
        <v>207</v>
      </c>
      <c r="C62" s="140">
        <f t="shared" si="78"/>
        <v>22</v>
      </c>
      <c r="D62" s="142" t="s">
        <v>20</v>
      </c>
      <c r="E62" s="198">
        <f t="shared" si="60"/>
        <v>203</v>
      </c>
      <c r="F62" s="35">
        <f t="shared" si="60"/>
        <v>238</v>
      </c>
      <c r="G62" s="108">
        <f t="shared" si="60"/>
        <v>22</v>
      </c>
      <c r="H62" s="138" t="s">
        <v>20</v>
      </c>
      <c r="I62" s="130">
        <f t="shared" ref="I62" si="103">I61+1</f>
        <v>234</v>
      </c>
      <c r="J62" s="139">
        <f t="shared" si="71"/>
        <v>269</v>
      </c>
      <c r="K62" s="140">
        <f t="shared" si="71"/>
        <v>22</v>
      </c>
      <c r="L62" s="143" t="s">
        <v>20</v>
      </c>
      <c r="M62" s="141">
        <f t="shared" si="61"/>
        <v>265</v>
      </c>
      <c r="N62" s="139">
        <f t="shared" ref="N62:O62" si="104">N61+1</f>
        <v>299</v>
      </c>
      <c r="O62" s="140">
        <f t="shared" si="104"/>
        <v>22</v>
      </c>
      <c r="P62" s="142" t="s">
        <v>20</v>
      </c>
      <c r="Q62" s="201">
        <f t="shared" ref="Q62:S62" si="105">Q61+1</f>
        <v>295</v>
      </c>
      <c r="R62" s="35">
        <f t="shared" si="105"/>
        <v>330</v>
      </c>
      <c r="S62" s="108">
        <f t="shared" si="105"/>
        <v>22</v>
      </c>
      <c r="T62" s="138" t="s">
        <v>20</v>
      </c>
      <c r="U62" s="193">
        <f t="shared" si="63"/>
        <v>326</v>
      </c>
      <c r="V62" s="139">
        <f t="shared" si="63"/>
        <v>360</v>
      </c>
      <c r="W62" s="140">
        <f t="shared" si="63"/>
        <v>22</v>
      </c>
      <c r="X62" s="143" t="s">
        <v>20</v>
      </c>
      <c r="Y62" s="141">
        <f t="shared" si="64"/>
        <v>356</v>
      </c>
      <c r="AA62" s="50" t="str">
        <f t="shared" si="65"/>
        <v>NA</v>
      </c>
      <c r="AB62" s="50" t="str">
        <f t="shared" si="66"/>
        <v>NA</v>
      </c>
      <c r="AC62" s="50" t="str">
        <f t="shared" si="67"/>
        <v>NA</v>
      </c>
      <c r="AD62" s="50" t="str">
        <f t="shared" si="68"/>
        <v>NA</v>
      </c>
      <c r="AE62" s="50" t="str">
        <f t="shared" si="69"/>
        <v>NA</v>
      </c>
      <c r="AF62" s="50" t="str">
        <f t="shared" si="70"/>
        <v>NA</v>
      </c>
    </row>
    <row r="63" spans="2:48" s="39" customFormat="1" ht="14.1" customHeight="1">
      <c r="B63" s="139">
        <f t="shared" si="78"/>
        <v>208</v>
      </c>
      <c r="C63" s="140">
        <f t="shared" si="78"/>
        <v>23</v>
      </c>
      <c r="D63" s="142" t="s">
        <v>20</v>
      </c>
      <c r="E63" s="198">
        <f t="shared" si="60"/>
        <v>204</v>
      </c>
      <c r="F63" s="35">
        <f t="shared" si="60"/>
        <v>239</v>
      </c>
      <c r="G63" s="108">
        <f t="shared" si="60"/>
        <v>23</v>
      </c>
      <c r="H63" s="138" t="s">
        <v>20</v>
      </c>
      <c r="I63" s="36">
        <f t="shared" ref="I63" si="106">I62+1</f>
        <v>235</v>
      </c>
      <c r="J63" s="139">
        <f t="shared" si="71"/>
        <v>270</v>
      </c>
      <c r="K63" s="140">
        <f t="shared" si="71"/>
        <v>23</v>
      </c>
      <c r="L63" s="142" t="s">
        <v>20</v>
      </c>
      <c r="M63" s="199">
        <f t="shared" si="61"/>
        <v>266</v>
      </c>
      <c r="N63" s="139">
        <f t="shared" si="61"/>
        <v>300</v>
      </c>
      <c r="O63" s="140">
        <f>O62+1</f>
        <v>23</v>
      </c>
      <c r="P63" s="142" t="s">
        <v>20</v>
      </c>
      <c r="Q63" s="141">
        <f t="shared" si="62"/>
        <v>296</v>
      </c>
      <c r="R63" s="139">
        <f t="shared" si="62"/>
        <v>331</v>
      </c>
      <c r="S63" s="140">
        <f t="shared" si="62"/>
        <v>23</v>
      </c>
      <c r="T63" s="143" t="s">
        <v>20</v>
      </c>
      <c r="U63" s="141">
        <f t="shared" si="63"/>
        <v>327</v>
      </c>
      <c r="V63" s="139">
        <f t="shared" si="63"/>
        <v>361</v>
      </c>
      <c r="W63" s="140">
        <f t="shared" si="63"/>
        <v>23</v>
      </c>
      <c r="X63" s="143" t="s">
        <v>20</v>
      </c>
      <c r="Y63" s="141">
        <f t="shared" si="64"/>
        <v>357</v>
      </c>
      <c r="AA63" s="50" t="str">
        <f t="shared" si="65"/>
        <v>NA</v>
      </c>
      <c r="AB63" s="50" t="str">
        <f t="shared" si="66"/>
        <v>NA</v>
      </c>
      <c r="AC63" s="50" t="str">
        <f t="shared" si="67"/>
        <v>NA</v>
      </c>
      <c r="AD63" s="50" t="str">
        <f t="shared" si="68"/>
        <v>NA</v>
      </c>
      <c r="AE63" s="50" t="str">
        <f t="shared" si="69"/>
        <v>NA</v>
      </c>
      <c r="AF63" s="50" t="str">
        <f t="shared" si="70"/>
        <v>NA</v>
      </c>
    </row>
    <row r="64" spans="2:48" s="39" customFormat="1" ht="14.1" customHeight="1">
      <c r="B64" s="139">
        <f t="shared" si="78"/>
        <v>209</v>
      </c>
      <c r="C64" s="140">
        <f t="shared" si="78"/>
        <v>24</v>
      </c>
      <c r="D64" s="142" t="s">
        <v>20</v>
      </c>
      <c r="E64" s="141">
        <f t="shared" si="60"/>
        <v>205</v>
      </c>
      <c r="F64" s="139">
        <f t="shared" si="60"/>
        <v>240</v>
      </c>
      <c r="G64" s="140">
        <f t="shared" si="60"/>
        <v>24</v>
      </c>
      <c r="H64" s="143" t="s">
        <v>20</v>
      </c>
      <c r="I64" s="141">
        <f t="shared" si="71"/>
        <v>236</v>
      </c>
      <c r="J64" s="139">
        <f t="shared" si="71"/>
        <v>271</v>
      </c>
      <c r="K64" s="140">
        <f t="shared" si="71"/>
        <v>24</v>
      </c>
      <c r="L64" s="142" t="s">
        <v>20</v>
      </c>
      <c r="M64" s="199">
        <f t="shared" si="61"/>
        <v>267</v>
      </c>
      <c r="N64" s="35">
        <f t="shared" si="61"/>
        <v>301</v>
      </c>
      <c r="O64" s="108">
        <f t="shared" si="61"/>
        <v>24</v>
      </c>
      <c r="P64" s="138" t="s">
        <v>20</v>
      </c>
      <c r="Q64" s="36">
        <f t="shared" ref="Q64" si="107">Q63+1</f>
        <v>297</v>
      </c>
      <c r="R64" s="139">
        <f t="shared" si="62"/>
        <v>332</v>
      </c>
      <c r="S64" s="140">
        <f t="shared" si="62"/>
        <v>24</v>
      </c>
      <c r="T64" s="143" t="s">
        <v>20</v>
      </c>
      <c r="U64" s="141">
        <f t="shared" si="63"/>
        <v>328</v>
      </c>
      <c r="V64" s="197">
        <f t="shared" si="63"/>
        <v>362</v>
      </c>
      <c r="W64" s="202">
        <f t="shared" si="63"/>
        <v>24</v>
      </c>
      <c r="X64" s="143" t="s">
        <v>20</v>
      </c>
      <c r="Y64" s="198">
        <f t="shared" si="64"/>
        <v>358</v>
      </c>
      <c r="AA64" s="50" t="str">
        <f t="shared" si="65"/>
        <v>NA</v>
      </c>
      <c r="AB64" s="50" t="str">
        <f t="shared" si="66"/>
        <v>NA</v>
      </c>
      <c r="AC64" s="50" t="str">
        <f t="shared" si="67"/>
        <v>NA</v>
      </c>
      <c r="AD64" s="50" t="str">
        <f t="shared" si="68"/>
        <v>NA</v>
      </c>
      <c r="AE64" s="50" t="str">
        <f t="shared" si="69"/>
        <v>NA</v>
      </c>
      <c r="AF64" s="50" t="str">
        <f t="shared" si="70"/>
        <v>NA</v>
      </c>
    </row>
    <row r="65" spans="2:68" s="39" customFormat="1" ht="14.1" customHeight="1">
      <c r="B65" s="35">
        <f t="shared" ref="B65:C65" si="108">B64+1</f>
        <v>210</v>
      </c>
      <c r="C65" s="108">
        <f t="shared" si="108"/>
        <v>25</v>
      </c>
      <c r="D65" s="138" t="s">
        <v>20</v>
      </c>
      <c r="E65" s="131">
        <f t="shared" si="60"/>
        <v>206</v>
      </c>
      <c r="F65" s="139">
        <f t="shared" si="60"/>
        <v>241</v>
      </c>
      <c r="G65" s="140">
        <f t="shared" si="60"/>
        <v>25</v>
      </c>
      <c r="H65" s="143" t="s">
        <v>20</v>
      </c>
      <c r="I65" s="141">
        <f t="shared" si="71"/>
        <v>237</v>
      </c>
      <c r="J65" s="139">
        <f t="shared" si="71"/>
        <v>272</v>
      </c>
      <c r="K65" s="140">
        <f t="shared" si="71"/>
        <v>25</v>
      </c>
      <c r="L65" s="142" t="s">
        <v>20</v>
      </c>
      <c r="M65" s="141">
        <f t="shared" si="61"/>
        <v>268</v>
      </c>
      <c r="N65" s="35">
        <f t="shared" si="61"/>
        <v>302</v>
      </c>
      <c r="O65" s="108">
        <f t="shared" si="61"/>
        <v>25</v>
      </c>
      <c r="P65" s="138" t="s">
        <v>20</v>
      </c>
      <c r="Q65" s="178">
        <f t="shared" ref="Q65" si="109">Q64+1</f>
        <v>298</v>
      </c>
      <c r="R65" s="139">
        <f t="shared" si="62"/>
        <v>333</v>
      </c>
      <c r="S65" s="140">
        <f t="shared" si="62"/>
        <v>25</v>
      </c>
      <c r="T65" s="142" t="s">
        <v>20</v>
      </c>
      <c r="U65" s="200">
        <f t="shared" si="63"/>
        <v>329</v>
      </c>
      <c r="V65" s="197">
        <f t="shared" si="63"/>
        <v>363</v>
      </c>
      <c r="W65" s="202">
        <f t="shared" si="63"/>
        <v>25</v>
      </c>
      <c r="X65" s="143" t="s">
        <v>20</v>
      </c>
      <c r="Y65" s="198">
        <f t="shared" si="64"/>
        <v>359</v>
      </c>
      <c r="AA65" s="50" t="str">
        <f t="shared" si="65"/>
        <v>NA</v>
      </c>
      <c r="AB65" s="50" t="str">
        <f t="shared" si="66"/>
        <v>NA</v>
      </c>
      <c r="AC65" s="50" t="str">
        <f t="shared" si="67"/>
        <v>NA</v>
      </c>
      <c r="AD65" s="50" t="str">
        <f t="shared" si="68"/>
        <v>NA</v>
      </c>
      <c r="AE65" s="50" t="str">
        <f t="shared" si="69"/>
        <v>NA</v>
      </c>
      <c r="AF65" s="50" t="str">
        <f t="shared" si="70"/>
        <v>NA</v>
      </c>
    </row>
    <row r="66" spans="2:68" s="39" customFormat="1" ht="14.1" customHeight="1">
      <c r="B66" s="35">
        <f t="shared" ref="B66:C68" si="110">B65+1</f>
        <v>211</v>
      </c>
      <c r="C66" s="108">
        <f t="shared" si="110"/>
        <v>26</v>
      </c>
      <c r="D66" s="138" t="s">
        <v>20</v>
      </c>
      <c r="E66" s="131">
        <f t="shared" si="60"/>
        <v>207</v>
      </c>
      <c r="F66" s="139">
        <f t="shared" si="60"/>
        <v>242</v>
      </c>
      <c r="G66" s="140">
        <f t="shared" si="60"/>
        <v>26</v>
      </c>
      <c r="H66" s="142" t="s">
        <v>20</v>
      </c>
      <c r="I66" s="141">
        <f t="shared" si="71"/>
        <v>238</v>
      </c>
      <c r="J66" s="35">
        <f t="shared" si="71"/>
        <v>273</v>
      </c>
      <c r="K66" s="108">
        <f t="shared" si="71"/>
        <v>26</v>
      </c>
      <c r="L66" s="138" t="s">
        <v>20</v>
      </c>
      <c r="M66" s="36">
        <f t="shared" si="61"/>
        <v>269</v>
      </c>
      <c r="N66" s="139">
        <f t="shared" si="61"/>
        <v>303</v>
      </c>
      <c r="O66" s="140">
        <f>O65+1</f>
        <v>26</v>
      </c>
      <c r="P66" s="143" t="s">
        <v>20</v>
      </c>
      <c r="Q66" s="141">
        <f t="shared" si="62"/>
        <v>299</v>
      </c>
      <c r="R66" s="139">
        <f t="shared" ref="R66:S66" si="111">R65+1</f>
        <v>334</v>
      </c>
      <c r="S66" s="140">
        <f t="shared" si="111"/>
        <v>26</v>
      </c>
      <c r="T66" s="142" t="s">
        <v>20</v>
      </c>
      <c r="U66" s="200">
        <f t="shared" ref="U66" si="112">U65+1</f>
        <v>330</v>
      </c>
      <c r="V66" s="94">
        <f t="shared" si="63"/>
        <v>364</v>
      </c>
      <c r="W66" s="126">
        <f t="shared" si="63"/>
        <v>26</v>
      </c>
      <c r="X66" s="145" t="s">
        <v>20</v>
      </c>
      <c r="Y66" s="131">
        <f t="shared" si="64"/>
        <v>360</v>
      </c>
      <c r="AA66" s="50" t="str">
        <f t="shared" si="65"/>
        <v>NA</v>
      </c>
      <c r="AB66" s="50" t="str">
        <f t="shared" si="66"/>
        <v>NA</v>
      </c>
      <c r="AC66" s="50" t="str">
        <f t="shared" si="67"/>
        <v>NA</v>
      </c>
      <c r="AD66" s="50" t="str">
        <f t="shared" si="68"/>
        <v>NA</v>
      </c>
      <c r="AE66" s="50" t="str">
        <f t="shared" si="69"/>
        <v>NA</v>
      </c>
      <c r="AF66" s="50" t="str">
        <f t="shared" si="70"/>
        <v>NA</v>
      </c>
    </row>
    <row r="67" spans="2:68" s="39" customFormat="1" ht="14.1" customHeight="1">
      <c r="B67" s="139">
        <f t="shared" si="110"/>
        <v>212</v>
      </c>
      <c r="C67" s="140">
        <f t="shared" si="110"/>
        <v>27</v>
      </c>
      <c r="D67" s="143" t="s">
        <v>20</v>
      </c>
      <c r="E67" s="141">
        <f t="shared" si="60"/>
        <v>208</v>
      </c>
      <c r="F67" s="139">
        <f t="shared" si="60"/>
        <v>243</v>
      </c>
      <c r="G67" s="140">
        <f t="shared" si="60"/>
        <v>27</v>
      </c>
      <c r="H67" s="142" t="s">
        <v>20</v>
      </c>
      <c r="I67" s="141">
        <f t="shared" si="71"/>
        <v>239</v>
      </c>
      <c r="J67" s="35">
        <f t="shared" si="71"/>
        <v>274</v>
      </c>
      <c r="K67" s="108">
        <f t="shared" si="71"/>
        <v>27</v>
      </c>
      <c r="L67" s="138" t="s">
        <v>20</v>
      </c>
      <c r="M67" s="179">
        <f t="shared" si="61"/>
        <v>270</v>
      </c>
      <c r="N67" s="139">
        <f t="shared" si="61"/>
        <v>304</v>
      </c>
      <c r="O67" s="140">
        <f>O66+1</f>
        <v>27</v>
      </c>
      <c r="P67" s="143" t="s">
        <v>20</v>
      </c>
      <c r="Q67" s="141">
        <f t="shared" si="62"/>
        <v>300</v>
      </c>
      <c r="R67" s="139">
        <f t="shared" ref="R67:S67" si="113">R66+1</f>
        <v>335</v>
      </c>
      <c r="S67" s="140">
        <f t="shared" si="113"/>
        <v>27</v>
      </c>
      <c r="T67" s="142" t="s">
        <v>20</v>
      </c>
      <c r="U67" s="141">
        <f t="shared" ref="U67:U69" si="114">U66+1</f>
        <v>331</v>
      </c>
      <c r="V67" s="94">
        <f t="shared" si="63"/>
        <v>365</v>
      </c>
      <c r="W67" s="126">
        <f t="shared" si="63"/>
        <v>27</v>
      </c>
      <c r="X67" s="145" t="s">
        <v>20</v>
      </c>
      <c r="Y67" s="131">
        <f t="shared" si="64"/>
        <v>361</v>
      </c>
      <c r="AA67" s="50" t="str">
        <f t="shared" si="65"/>
        <v>NA</v>
      </c>
      <c r="AB67" s="50" t="str">
        <f t="shared" si="66"/>
        <v>NA</v>
      </c>
      <c r="AC67" s="50" t="str">
        <f t="shared" si="67"/>
        <v>NA</v>
      </c>
      <c r="AD67" s="50" t="str">
        <f t="shared" si="68"/>
        <v>NA</v>
      </c>
      <c r="AE67" s="50" t="str">
        <f t="shared" si="69"/>
        <v>NA</v>
      </c>
      <c r="AF67" s="50" t="str">
        <f t="shared" si="70"/>
        <v>NA</v>
      </c>
    </row>
    <row r="68" spans="2:68" s="39" customFormat="1" ht="14.1" customHeight="1">
      <c r="B68" s="139">
        <f t="shared" si="110"/>
        <v>213</v>
      </c>
      <c r="C68" s="140">
        <f t="shared" si="110"/>
        <v>28</v>
      </c>
      <c r="D68" s="143" t="s">
        <v>20</v>
      </c>
      <c r="E68" s="141">
        <f t="shared" si="60"/>
        <v>209</v>
      </c>
      <c r="F68" s="139">
        <f t="shared" si="60"/>
        <v>244</v>
      </c>
      <c r="G68" s="140">
        <f t="shared" si="60"/>
        <v>28</v>
      </c>
      <c r="H68" s="142" t="s">
        <v>20</v>
      </c>
      <c r="I68" s="141">
        <f t="shared" si="71"/>
        <v>240</v>
      </c>
      <c r="J68" s="139">
        <f t="shared" si="71"/>
        <v>275</v>
      </c>
      <c r="K68" s="140">
        <f t="shared" si="71"/>
        <v>28</v>
      </c>
      <c r="L68" s="143" t="s">
        <v>20</v>
      </c>
      <c r="M68" s="141">
        <f t="shared" si="61"/>
        <v>271</v>
      </c>
      <c r="N68" s="139">
        <f t="shared" si="61"/>
        <v>305</v>
      </c>
      <c r="O68" s="140">
        <f t="shared" si="61"/>
        <v>28</v>
      </c>
      <c r="P68" s="142" t="s">
        <v>20</v>
      </c>
      <c r="Q68" s="201">
        <f t="shared" si="62"/>
        <v>301</v>
      </c>
      <c r="R68" s="35">
        <f t="shared" si="62"/>
        <v>336</v>
      </c>
      <c r="S68" s="108">
        <f t="shared" si="62"/>
        <v>28</v>
      </c>
      <c r="T68" s="138" t="s">
        <v>20</v>
      </c>
      <c r="U68" s="36">
        <f t="shared" si="114"/>
        <v>332</v>
      </c>
      <c r="V68" s="197">
        <f t="shared" si="63"/>
        <v>366</v>
      </c>
      <c r="W68" s="202">
        <f t="shared" si="63"/>
        <v>28</v>
      </c>
      <c r="X68" s="143" t="s">
        <v>20</v>
      </c>
      <c r="Y68" s="198">
        <f t="shared" si="64"/>
        <v>362</v>
      </c>
      <c r="AA68" s="50" t="str">
        <f t="shared" si="65"/>
        <v>NA</v>
      </c>
      <c r="AB68" s="50" t="str">
        <f t="shared" si="66"/>
        <v>NA</v>
      </c>
      <c r="AC68" s="50" t="str">
        <f t="shared" si="67"/>
        <v>NA</v>
      </c>
      <c r="AD68" s="50" t="str">
        <f t="shared" si="68"/>
        <v>NA</v>
      </c>
      <c r="AE68" s="50" t="str">
        <f t="shared" si="69"/>
        <v>NA</v>
      </c>
      <c r="AF68" s="50" t="str">
        <f t="shared" si="70"/>
        <v>NA</v>
      </c>
    </row>
    <row r="69" spans="2:68" s="39" customFormat="1" ht="14.1" customHeight="1">
      <c r="B69" s="139">
        <f t="shared" si="78"/>
        <v>214</v>
      </c>
      <c r="C69" s="140">
        <f t="shared" si="78"/>
        <v>29</v>
      </c>
      <c r="D69" s="142" t="s">
        <v>20</v>
      </c>
      <c r="E69" s="198">
        <f t="shared" si="60"/>
        <v>210</v>
      </c>
      <c r="F69" s="35">
        <f t="shared" si="60"/>
        <v>245</v>
      </c>
      <c r="G69" s="108">
        <f t="shared" si="60"/>
        <v>29</v>
      </c>
      <c r="H69" s="138" t="s">
        <v>20</v>
      </c>
      <c r="I69" s="36">
        <f t="shared" ref="I69" si="115">I68+1</f>
        <v>241</v>
      </c>
      <c r="J69" s="139">
        <f t="shared" si="71"/>
        <v>276</v>
      </c>
      <c r="K69" s="140">
        <f t="shared" si="71"/>
        <v>29</v>
      </c>
      <c r="L69" s="143" t="s">
        <v>20</v>
      </c>
      <c r="M69" s="141">
        <f t="shared" si="61"/>
        <v>272</v>
      </c>
      <c r="N69" s="139">
        <f t="shared" si="61"/>
        <v>306</v>
      </c>
      <c r="O69" s="140">
        <f t="shared" si="61"/>
        <v>29</v>
      </c>
      <c r="P69" s="142" t="s">
        <v>20</v>
      </c>
      <c r="Q69" s="201">
        <f t="shared" si="62"/>
        <v>302</v>
      </c>
      <c r="R69" s="35">
        <f t="shared" si="62"/>
        <v>337</v>
      </c>
      <c r="S69" s="108">
        <f t="shared" si="62"/>
        <v>29</v>
      </c>
      <c r="T69" s="138" t="s">
        <v>20</v>
      </c>
      <c r="U69" s="193">
        <f t="shared" si="114"/>
        <v>333</v>
      </c>
      <c r="V69" s="197">
        <f t="shared" si="63"/>
        <v>367</v>
      </c>
      <c r="W69" s="202">
        <f t="shared" si="63"/>
        <v>29</v>
      </c>
      <c r="X69" s="143" t="s">
        <v>20</v>
      </c>
      <c r="Y69" s="198">
        <f t="shared" si="64"/>
        <v>363</v>
      </c>
      <c r="AA69" s="50" t="str">
        <f t="shared" si="65"/>
        <v>NA</v>
      </c>
      <c r="AB69" s="50" t="str">
        <f t="shared" si="66"/>
        <v>NA</v>
      </c>
      <c r="AC69" s="50" t="str">
        <f t="shared" si="67"/>
        <v>NA</v>
      </c>
      <c r="AD69" s="50" t="str">
        <f t="shared" si="68"/>
        <v>NA</v>
      </c>
      <c r="AE69" s="50" t="str">
        <f t="shared" si="69"/>
        <v>NA</v>
      </c>
      <c r="AF69" s="50" t="str">
        <f t="shared" si="70"/>
        <v>NA</v>
      </c>
    </row>
    <row r="70" spans="2:68" s="39" customFormat="1" ht="14.1" customHeight="1">
      <c r="B70" s="139">
        <f t="shared" si="78"/>
        <v>215</v>
      </c>
      <c r="C70" s="140">
        <f t="shared" si="78"/>
        <v>30</v>
      </c>
      <c r="D70" s="142" t="s">
        <v>20</v>
      </c>
      <c r="E70" s="198">
        <f t="shared" ref="E70:G70" si="116">E69+1</f>
        <v>211</v>
      </c>
      <c r="F70" s="35">
        <f t="shared" si="116"/>
        <v>246</v>
      </c>
      <c r="G70" s="108">
        <f t="shared" si="116"/>
        <v>30</v>
      </c>
      <c r="H70" s="138" t="s">
        <v>20</v>
      </c>
      <c r="I70" s="178">
        <f t="shared" ref="I70" si="117">I69+1</f>
        <v>242</v>
      </c>
      <c r="J70" s="139">
        <f t="shared" si="71"/>
        <v>277</v>
      </c>
      <c r="K70" s="140">
        <f t="shared" si="71"/>
        <v>30</v>
      </c>
      <c r="L70" s="142" t="s">
        <v>20</v>
      </c>
      <c r="M70" s="199">
        <f t="shared" si="61"/>
        <v>273</v>
      </c>
      <c r="N70" s="139">
        <f t="shared" si="61"/>
        <v>307</v>
      </c>
      <c r="O70" s="140">
        <f t="shared" si="61"/>
        <v>30</v>
      </c>
      <c r="P70" s="142" t="s">
        <v>20</v>
      </c>
      <c r="Q70" s="141">
        <f t="shared" si="62"/>
        <v>303</v>
      </c>
      <c r="R70" s="139">
        <f t="shared" si="62"/>
        <v>338</v>
      </c>
      <c r="S70" s="140">
        <f t="shared" si="62"/>
        <v>30</v>
      </c>
      <c r="T70" s="143" t="s">
        <v>20</v>
      </c>
      <c r="U70" s="141">
        <f t="shared" si="63"/>
        <v>334</v>
      </c>
      <c r="V70" s="197">
        <f t="shared" si="63"/>
        <v>368</v>
      </c>
      <c r="W70" s="202">
        <f t="shared" si="63"/>
        <v>30</v>
      </c>
      <c r="X70" s="143" t="s">
        <v>20</v>
      </c>
      <c r="Y70" s="198">
        <f t="shared" si="64"/>
        <v>364</v>
      </c>
      <c r="AA70" s="50" t="str">
        <f t="shared" si="65"/>
        <v>NA</v>
      </c>
      <c r="AB70" s="50" t="str">
        <f t="shared" si="66"/>
        <v>NA</v>
      </c>
      <c r="AC70" s="50" t="str">
        <f t="shared" si="67"/>
        <v>NA</v>
      </c>
      <c r="AD70" s="50" t="str">
        <f t="shared" si="68"/>
        <v>NA</v>
      </c>
      <c r="AE70" s="50" t="str">
        <f t="shared" si="69"/>
        <v>NA</v>
      </c>
      <c r="AF70" s="50" t="str">
        <f t="shared" si="70"/>
        <v>NA</v>
      </c>
    </row>
    <row r="71" spans="2:68" s="39" customFormat="1" ht="14.1" customHeight="1" thickBot="1">
      <c r="B71" s="203">
        <f t="shared" si="78"/>
        <v>216</v>
      </c>
      <c r="C71" s="204">
        <f t="shared" si="78"/>
        <v>31</v>
      </c>
      <c r="D71" s="205" t="s">
        <v>20</v>
      </c>
      <c r="E71" s="206">
        <f t="shared" ref="E71" si="118">E70+1</f>
        <v>212</v>
      </c>
      <c r="F71" s="203">
        <f t="shared" si="60"/>
        <v>247</v>
      </c>
      <c r="G71" s="204">
        <f t="shared" si="60"/>
        <v>31</v>
      </c>
      <c r="H71" s="207" t="s">
        <v>20</v>
      </c>
      <c r="I71" s="206">
        <f t="shared" si="71"/>
        <v>243</v>
      </c>
      <c r="J71" s="183"/>
      <c r="K71" s="184"/>
      <c r="L71" s="185"/>
      <c r="M71" s="186"/>
      <c r="N71" s="180">
        <f t="shared" si="61"/>
        <v>308</v>
      </c>
      <c r="O71" s="181">
        <f t="shared" si="61"/>
        <v>31</v>
      </c>
      <c r="P71" s="210" t="s">
        <v>20</v>
      </c>
      <c r="Q71" s="182">
        <f t="shared" si="62"/>
        <v>304</v>
      </c>
      <c r="R71" s="187"/>
      <c r="S71" s="188"/>
      <c r="T71" s="189"/>
      <c r="U71" s="186"/>
      <c r="V71" s="208">
        <f t="shared" ref="V71:W71" si="119">V70+1</f>
        <v>369</v>
      </c>
      <c r="W71" s="204">
        <f t="shared" si="119"/>
        <v>31</v>
      </c>
      <c r="X71" s="143" t="s">
        <v>20</v>
      </c>
      <c r="Y71" s="209">
        <f t="shared" si="64"/>
        <v>365</v>
      </c>
      <c r="AA71" s="50" t="str">
        <f t="shared" si="65"/>
        <v>NA</v>
      </c>
      <c r="AB71" s="50" t="str">
        <f t="shared" si="66"/>
        <v>NA</v>
      </c>
      <c r="AC71" s="53"/>
      <c r="AD71" s="50" t="str">
        <f t="shared" si="68"/>
        <v>NA</v>
      </c>
      <c r="AE71" s="53"/>
      <c r="AF71" s="50" t="str">
        <f t="shared" si="70"/>
        <v>NA</v>
      </c>
    </row>
    <row r="72" spans="2:68" s="39" customFormat="1" ht="16.5" thickBot="1">
      <c r="B72" s="105">
        <v>23</v>
      </c>
      <c r="C72" s="97" t="s">
        <v>9</v>
      </c>
      <c r="D72" s="98"/>
      <c r="E72" s="100"/>
      <c r="F72" s="101">
        <v>21</v>
      </c>
      <c r="G72" s="97" t="s">
        <v>9</v>
      </c>
      <c r="H72" s="98"/>
      <c r="I72" s="100"/>
      <c r="J72" s="101">
        <v>22</v>
      </c>
      <c r="K72" s="97" t="s">
        <v>9</v>
      </c>
      <c r="L72" s="98"/>
      <c r="M72" s="100"/>
      <c r="N72" s="101">
        <v>22</v>
      </c>
      <c r="O72" s="97" t="s">
        <v>9</v>
      </c>
      <c r="P72" s="98"/>
      <c r="Q72" s="102"/>
      <c r="R72" s="101">
        <v>21</v>
      </c>
      <c r="S72" s="97" t="s">
        <v>9</v>
      </c>
      <c r="T72" s="98"/>
      <c r="U72" s="100"/>
      <c r="V72" s="190">
        <v>23</v>
      </c>
      <c r="W72" s="97" t="s">
        <v>9</v>
      </c>
      <c r="X72" s="191"/>
      <c r="Y72" s="192"/>
      <c r="Z72" s="47" t="s">
        <v>23</v>
      </c>
      <c r="AA72" s="48">
        <f t="shared" ref="AA72:AF72" si="120">SUM(AA41:AA71)</f>
        <v>0</v>
      </c>
      <c r="AB72" s="48">
        <f t="shared" si="120"/>
        <v>0</v>
      </c>
      <c r="AC72" s="48">
        <f t="shared" si="120"/>
        <v>0</v>
      </c>
      <c r="AD72" s="48">
        <f t="shared" si="120"/>
        <v>0</v>
      </c>
      <c r="AE72" s="48">
        <f t="shared" si="120"/>
        <v>0</v>
      </c>
      <c r="AF72" s="48">
        <f t="shared" si="120"/>
        <v>2</v>
      </c>
    </row>
    <row r="73" spans="2:68" ht="7.5" customHeight="1">
      <c r="B73" s="104"/>
      <c r="C73" s="1"/>
      <c r="D73" s="6"/>
      <c r="F73" s="1"/>
      <c r="G73" s="1"/>
      <c r="H73" s="6"/>
      <c r="J73" s="31"/>
      <c r="K73" s="1"/>
      <c r="L73" s="6"/>
      <c r="N73" s="1"/>
      <c r="O73" s="1"/>
      <c r="P73" s="6"/>
      <c r="R73" s="1"/>
      <c r="S73" s="1"/>
      <c r="T73" s="6"/>
      <c r="V73" s="1"/>
      <c r="W73" s="1"/>
      <c r="X73" s="6"/>
      <c r="Y73" s="95"/>
      <c r="AB73" s="45"/>
      <c r="AC73" s="45"/>
      <c r="AD73" s="45"/>
      <c r="AE73" s="45"/>
      <c r="AF73" s="45"/>
    </row>
    <row r="74" spans="2:68" ht="27.75" customHeight="1">
      <c r="B74" s="4"/>
      <c r="C74" s="5"/>
      <c r="D74" s="5"/>
      <c r="E74" s="5"/>
      <c r="F74" s="7"/>
      <c r="G74" s="8"/>
      <c r="H74" s="6"/>
      <c r="I74" s="32"/>
      <c r="J74" s="10" t="s">
        <v>10</v>
      </c>
      <c r="L74" s="6"/>
      <c r="O74" s="5"/>
      <c r="P74" s="11" t="s">
        <v>11</v>
      </c>
      <c r="T74" s="6"/>
      <c r="U74" s="12"/>
      <c r="V74" s="33">
        <f>$V$36+$R$36+$N$36+$J$36+$F$36+$B$36+$B$72+$F$72+$J$72+$N$72+$R$72+$V$72</f>
        <v>255</v>
      </c>
      <c r="W74" s="10" t="s">
        <v>9</v>
      </c>
      <c r="X74" s="6"/>
      <c r="Y74" s="75"/>
      <c r="Z74" s="6" t="s">
        <v>21</v>
      </c>
      <c r="AB74" s="45"/>
      <c r="AC74" s="45"/>
      <c r="AD74" s="45"/>
      <c r="AE74" s="45"/>
      <c r="AF74" s="45"/>
    </row>
    <row r="75" spans="2:68" ht="10.5" customHeight="1" thickBot="1">
      <c r="B75" s="14"/>
      <c r="C75" s="15"/>
      <c r="D75" s="16"/>
      <c r="E75" s="17"/>
      <c r="F75" s="20"/>
      <c r="G75" s="19"/>
      <c r="H75" s="16"/>
      <c r="I75" s="17"/>
      <c r="J75" s="19"/>
      <c r="K75" s="19"/>
      <c r="L75" s="16"/>
      <c r="M75" s="17"/>
      <c r="N75" s="34"/>
      <c r="O75" s="19"/>
      <c r="P75" s="16"/>
      <c r="Q75" s="18"/>
      <c r="R75" s="34"/>
      <c r="S75" s="19"/>
      <c r="T75" s="16"/>
      <c r="U75" s="17"/>
      <c r="V75" s="34"/>
      <c r="W75" s="20"/>
      <c r="X75" s="34"/>
      <c r="Y75" s="22"/>
    </row>
    <row r="76" spans="2:68" ht="15">
      <c r="B76" s="1"/>
      <c r="C76" s="1"/>
      <c r="D76" s="6"/>
      <c r="F76" s="1"/>
      <c r="G76" s="1"/>
      <c r="H76" s="6"/>
      <c r="J76" s="1"/>
      <c r="K76" s="1"/>
      <c r="L76" s="6"/>
      <c r="N76" s="1"/>
      <c r="O76" s="1"/>
      <c r="P76" s="6"/>
      <c r="R76" s="1"/>
      <c r="S76" s="1"/>
      <c r="T76" s="6"/>
      <c r="V76" s="1"/>
      <c r="W76" s="1"/>
      <c r="X76" s="6"/>
      <c r="Z76" s="1"/>
      <c r="AA76" s="44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</row>
    <row r="77" spans="2:68" ht="15">
      <c r="B77" s="1"/>
      <c r="C77" s="1"/>
      <c r="D77" s="6"/>
      <c r="F77" s="1"/>
      <c r="G77" s="1"/>
      <c r="H77" s="6"/>
      <c r="J77" s="1"/>
      <c r="K77" s="1"/>
      <c r="L77" s="6"/>
      <c r="N77" s="1"/>
      <c r="O77" s="1"/>
      <c r="P77" s="6"/>
      <c r="R77" s="1"/>
      <c r="S77" s="1"/>
      <c r="T77" s="6"/>
      <c r="V77" s="1"/>
      <c r="W77" s="1"/>
      <c r="X77" s="6"/>
      <c r="Z77" s="1"/>
      <c r="AA77" s="44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</row>
    <row r="78" spans="2:68" ht="15">
      <c r="B78" s="1"/>
      <c r="C78" s="1"/>
      <c r="D78" s="6"/>
      <c r="F78" s="1"/>
      <c r="G78" s="1"/>
      <c r="H78" s="6"/>
      <c r="J78" s="1"/>
      <c r="K78" s="1"/>
      <c r="L78" s="6"/>
      <c r="N78" s="1"/>
      <c r="O78" s="1"/>
      <c r="P78" s="6"/>
      <c r="R78" s="1"/>
      <c r="S78" s="1"/>
      <c r="T78" s="6"/>
      <c r="V78" s="1"/>
      <c r="W78" s="1"/>
      <c r="X78" s="6"/>
      <c r="Z78" s="1"/>
      <c r="AA78" s="44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</row>
    <row r="79" spans="2:68" ht="15">
      <c r="B79" s="1"/>
      <c r="C79" s="1"/>
      <c r="D79" s="6"/>
      <c r="F79" s="1"/>
      <c r="G79" s="1"/>
      <c r="H79" s="6"/>
      <c r="J79" s="1"/>
      <c r="K79" s="1"/>
      <c r="L79" s="6"/>
      <c r="N79" s="1"/>
      <c r="O79" s="1"/>
      <c r="P79" s="6"/>
      <c r="R79" s="1"/>
      <c r="S79" s="1"/>
      <c r="T79" s="6"/>
      <c r="V79" s="1"/>
      <c r="W79" s="1"/>
      <c r="X79" s="6"/>
      <c r="Z79" s="1"/>
      <c r="AA79" s="44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</row>
    <row r="80" spans="2:68" ht="15">
      <c r="B80" s="1"/>
      <c r="C80" s="1"/>
      <c r="D80" s="6"/>
      <c r="F80" s="1"/>
      <c r="G80" s="1"/>
      <c r="H80" s="6"/>
      <c r="J80" s="1"/>
      <c r="K80" s="1"/>
      <c r="L80" s="6"/>
      <c r="N80" s="1"/>
      <c r="O80" s="1"/>
      <c r="P80" s="6"/>
      <c r="R80" s="1"/>
      <c r="S80" s="1"/>
      <c r="T80" s="6"/>
      <c r="V80" s="1"/>
      <c r="W80" s="1"/>
      <c r="X80" s="6"/>
      <c r="Z80" s="1"/>
      <c r="AA80" s="44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</row>
    <row r="81" spans="2:68" ht="15">
      <c r="B81" s="1"/>
      <c r="C81" s="1"/>
      <c r="D81" s="6"/>
      <c r="F81" s="1"/>
      <c r="G81" s="1"/>
      <c r="H81" s="6"/>
      <c r="J81" s="1"/>
      <c r="K81" s="1"/>
      <c r="L81" s="6"/>
      <c r="N81" s="1"/>
      <c r="O81" s="1"/>
      <c r="P81" s="6"/>
      <c r="R81" s="1"/>
      <c r="S81" s="1"/>
      <c r="T81" s="6"/>
      <c r="V81" s="1"/>
      <c r="W81" s="1"/>
      <c r="X81" s="6"/>
      <c r="Z81" s="1"/>
      <c r="AA81" s="44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</row>
  </sheetData>
  <sheetProtection formatCells="0" selectLockedCells="1" selectUnlockedCells="1"/>
  <sortState xmlns:xlrd2="http://schemas.microsoft.com/office/spreadsheetml/2017/richdata2" ref="AV39:AV51">
    <sortCondition ref="AV39:AV51"/>
  </sortState>
  <dataConsolidate/>
  <mergeCells count="5">
    <mergeCell ref="M3:O3"/>
    <mergeCell ref="B3:D3"/>
    <mergeCell ref="P3:Q3"/>
    <mergeCell ref="E3:K3"/>
    <mergeCell ref="R3:Y3"/>
  </mergeCells>
  <dataValidations count="3">
    <dataValidation type="list" allowBlank="1" showInputMessage="1" showErrorMessage="1" sqref="D5 D46:D47 D53:D54 D67:D68 D60:D61 L23" xr:uid="{00000000-0002-0000-0000-000000000000}">
      <formula1>$AV$7:$AV$24</formula1>
    </dataValidation>
    <dataValidation type="list" allowBlank="1" showInputMessage="1" showErrorMessage="1" sqref="P41:P71 D48:D52 D41:D45 D6:D35 D69:D71 X5:X34 H41:H71 L41:L70 T41:T70 X41:X71 D55:D59 D62:D66 L5:L22 L24:L35 H5:H33 P5:P34 T5:T35" xr:uid="{00000000-0002-0000-0000-000001000000}">
      <formula1>$AV$7:$AV$27</formula1>
    </dataValidation>
    <dataValidation type="list" allowBlank="1" showInputMessage="1" showErrorMessage="1" sqref="E3:K3" xr:uid="{6B379972-8AC9-43B9-AC8C-97E5A1EB0962}">
      <formula1>"Jorge Benito Sanabrias"</formula1>
    </dataValidation>
  </dataValidations>
  <printOptions horizontalCentered="1" verticalCentered="1"/>
  <pageMargins left="0.19685039370078741" right="0.19685039370078741" top="7.874015748031496E-2" bottom="0.27559055118110237" header="0.15748031496062992" footer="0.51181102362204722"/>
  <pageSetup paperSize="8" scale="71" orientation="landscape" r:id="rId1"/>
  <headerFooter alignWithMargins="0">
    <oddHeader>&amp;C&amp;16Contractor Work Report 2013</oddHeader>
  </headerFooter>
  <ignoredErrors>
    <ignoredError sqref="B41:C41 B6:C6 C5 B8:C8 B7:C7 E7:G7 B20:C20 B14:C18 E14:G14 B22:C22 B21:C21 E21:G21 B13:C13 B12:C12 E12:G12 B19:C19 E19:G19 B28:C28 B26:C26 E26:G26 B35:C35 B33:C33 E33 B10:C10 B9:C9 I9:K9 E17:G17 E16:G16 I16:K16 B24:C24 B23:C23 I23:K23 B31:C31 B30:C30 I30:K30 M9:O9 M16:O16 M30:O30 Q6:S6 Q13:S13 B27:C27 Q27:S27 B34:C34 Q34:S34 B11:C11 U11:W11 E18:G18 U18:W18 B25:C25 U25:W25 B32:C32 U32:W32 Y8 E15:G15 Y15 Y22 B29:C29 Y29 Y20 Y21 B44:C44 B42:C42 E42:G42 B51:C51 B49:C49 E49:G49 B58:C58 B56:C56 E56:G56 B65:C65 B63:C63 E63:G63 B71:C71 B70:C70 E70:G70 B47:C47 B46:C46 I46:K46 B54:C54 B53:C53 I53:K53 B61:C61 B60:C60 I60:K60 B50:C50 M50:O50 B57:C57 M57:O57 B64:C64 M64:O64 Q41:S41 B48:C48 Q48:S48 B55:C55 Q55:S55 B62:C62 Q62:S62 B69:C69 Q69:S69 B45:C45 U45:W45 B52:C52 U52:W52 B59:C59 U59:W59 B68:C68 B66:C66 U66:W66 B43:C43 Y43 Y50 Y57 Y64 B67:C67 Y67 Y70 Y71 E28:G28 E35:K35 I11:K11 I18:K18 I25:K25 I32:K32 M11:O11 M18:O18 M25:O25 M32:O32 Q9:S9 Q8:S8 Q15:S15 Q29:S29 U6:W6 U13:W13 U17:W17 U20:W20 U27:W27 U28:W28 U34:W34 Y7 Y17 Y24 Y31 E44:G44 E51:G51 E58:G58 E65:G65 I48:K48 I62:K62 I67:K67 I69:K69 M45:O45 M52:O52 M43:O43 M59:O59 M66:O66 Q43:S43 Q50:S50 Q57:S57 Q64:S64 Q71:W71 U47:W47 U54:W54 U61:W61 U68:W68 Y45 Y52 Y59 E6:G6 Q19:S19 Q21:S21 Q22:S22 U30:W30 U31:W31 Y9 Q20:S20 Y66 E11:G11 E20:G20 E13:G13 E25:G25 E32:G32 E34:K34 E27:G27 I8:K8 I10:K10 I15:K15 I17:K17 I22:K22 I24:K24 I29:K29 I31:K31 M8:O8 M15:O15 M10:O10 M17:O17 M24:O24 M29:O29 M31:O31 Q5:S5 Q7:S7 Q12:S12 Q14:S14 Q11:S11 Q26:S26 Q28:S28 Q33:S33 U5:W5 U10:W10 U12:W12 U22:W22 U19:W19 U23:W23 U24:W24 U26:W26 U33:W33 Y14 Y12 Y13 Y16 Y23 Y30 E41:G41 E43:G43 E48:G48 E50:G50 E55:G55 E57:G57 E62:G62 E64:G64 E69:G69 E71:G71 I45:K45 I52:K52 I54:K54 I47:K47 I59:K59 I61:K61 I66:K66 I68:K68 M42:O42 M44:O44 M49:O49 M51:O51 M56:O56 M58:O58 M63:O63 M65:O65 M70:O70 Q47:S47 Q49:S49 Q54:S54 Q61:S61 Q56:S56 Q63:S63 Q68:S68 Q70:S70 U44:W44 U51:W51 U58:W58 U65:W65 U46:W46 U53:W53 U60:W60 U67:W67 Y44 Y51 Y58 Y42 Y49 Y56 Y63 Q42:S42 M22:O22 Y28 E8:G8 E9:G9 J33:K33 N5:O5 E10:G10 K19 E24:G24 E31:G31 J7:K7 I14:K14 I21:K21 I28:K28 M7:O7 M14:O14 M21:O21 M28:O28 M35:S35 K5 M33:O33 M34:O34 Q10:S10 Q17:S17 Q24:S24 Q25:S25 Q31:S31 Q32:S32 Q18:S18 U8:W8 U9:W9 U15:W15 U16:W16 U29:W29 Y5 Y6 Y19 Y26 Y27 Y33 Y34 E46:G46 E47:G47 E53:G53 E54:G54 E60:G60 E61:G61 E67:G67 E68:G68 I43:K43 I44:K44 I50:K50 I51:K51 I57:K57 I58:K58 I64:K64 I65:K65 I71:O71 M41:O41 M47:O47 M48:O48 M54:O54 M55:O55 M61:O61 M62:O62 M68:O68 M69:O69 Q45:S45 Q46:S46 Q52:S52 Q53:S53 Q59:S59 Q60:S60 Q66:S66 Q67:S67 U42:W42 U43:W43 U49:W49 U50:W50 U56:W56 U57:W57 U63:W63 U64:W64 U70:W70 Y41 Y47 Y54 Y55 Y61 Y62 Y68 Y69 M6:O6 M13:O13 M20:O20 M27:O27 E22:G22 E23:G23 E30:G30 E29:G29 I5 J6:K6 I12:K12 I13:K13 I19 I20:K20 I26:K26 I27:K27 G5 M19:O19 M12:O12 M26:O26 Q16:S16 Q23:S23 Q30:S30 U7:W7 U14:W14 U21:W21 U35:Y35 Y11 Y18 Y25 Y32 E45:G45 E52:G52 E59:G59 E66:G66 I70:K70 I63:K63 I56:K56 I49:K49 I42:K42 M46:O46 M53:O53 M60:O60 M67:O67 Q44:S44 Q51:S51 Q58:S58 Q65:S65 U48:W48 U55:W55 U62:W62 U69:W69 Y48 Y60 Y53 Y46 Y65 M23:O23 I55:K55 I41:K41 U41:W41" unlocked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B2:G60"/>
  <sheetViews>
    <sheetView showGridLines="0" showRowColHeaders="0" zoomScale="50" zoomScaleNormal="50" workbookViewId="0">
      <selection activeCell="D13" sqref="D13"/>
    </sheetView>
  </sheetViews>
  <sheetFormatPr defaultColWidth="8.88671875" defaultRowHeight="15"/>
  <cols>
    <col min="1" max="1" width="8.88671875" style="54"/>
    <col min="2" max="2" width="11.5546875" style="54" customWidth="1"/>
    <col min="3" max="3" width="7" style="56" customWidth="1"/>
    <col min="4" max="4" width="18.109375" style="54" customWidth="1"/>
    <col min="5" max="5" width="14.77734375" style="55" customWidth="1"/>
    <col min="6" max="6" width="10.77734375" style="54" customWidth="1"/>
    <col min="7" max="7" width="36.77734375" style="54" customWidth="1"/>
    <col min="8" max="16384" width="8.88671875" style="54"/>
  </cols>
  <sheetData>
    <row r="2" spans="2:7" ht="26.25" customHeight="1">
      <c r="B2" s="65" t="str">
        <f>+'Work Report Consultant'!B2</f>
        <v>Consultant work report 2026</v>
      </c>
      <c r="C2" s="66"/>
      <c r="D2" s="67"/>
      <c r="E2" s="68"/>
      <c r="G2" s="132" t="s">
        <v>91</v>
      </c>
    </row>
    <row r="3" spans="2:7" ht="27.75" customHeight="1">
      <c r="B3" s="69" t="str">
        <f>+'Work Report Consultant'!B3</f>
        <v>Name:</v>
      </c>
      <c r="C3" s="70" t="str">
        <f>+'Work Report Consultant'!E3</f>
        <v>Jorge Benito Sanabrias</v>
      </c>
      <c r="D3" s="67"/>
      <c r="E3" s="68"/>
      <c r="F3" s="67"/>
    </row>
    <row r="4" spans="2:7" ht="24.75" customHeight="1">
      <c r="B4" s="69">
        <f>+'Work Report Consultant'!P3</f>
        <v>0</v>
      </c>
      <c r="C4" s="70" t="str">
        <f>+'Work Report Consultant'!R3</f>
        <v>Anzen Engineering Switzerland</v>
      </c>
      <c r="D4" s="67"/>
      <c r="E4" s="68"/>
      <c r="F4" s="67"/>
    </row>
    <row r="5" spans="2:7" ht="15.75" thickBot="1"/>
    <row r="6" spans="2:7" ht="21.75" customHeight="1" thickBot="1">
      <c r="B6" s="71" t="str">
        <f>+'Work Report Consultant'!B4</f>
        <v>JANUARY</v>
      </c>
      <c r="C6" s="59">
        <f>+'Work Report Consultant'!AV3</f>
        <v>2026</v>
      </c>
      <c r="D6" s="73"/>
      <c r="E6" s="59"/>
      <c r="F6" s="59" t="s">
        <v>48</v>
      </c>
      <c r="G6" s="74"/>
    </row>
    <row r="7" spans="2:7" ht="18.75" customHeight="1">
      <c r="B7" s="106">
        <f>+'Work Report Consultant'!B5</f>
        <v>5</v>
      </c>
      <c r="C7" s="56">
        <f>+'Work Report Consultant'!C5</f>
        <v>1</v>
      </c>
      <c r="D7" s="54" t="str">
        <f>+'Work Report Consultant'!D5</f>
        <v>Neujahr</v>
      </c>
      <c r="E7" s="55" t="str">
        <f>+'Work Report Consultant'!AA5</f>
        <v>NA</v>
      </c>
    </row>
    <row r="8" spans="2:7" ht="18.75" customHeight="1">
      <c r="B8" s="106">
        <f>B7+1</f>
        <v>6</v>
      </c>
      <c r="C8" s="56">
        <f>+'Work Report Consultant'!C6</f>
        <v>2</v>
      </c>
      <c r="D8" s="54" t="str">
        <f>+'Work Report Consultant'!D6</f>
        <v>N/A</v>
      </c>
      <c r="E8" s="55" t="str">
        <f>+'Work Report Consultant'!AA6</f>
        <v>NA</v>
      </c>
    </row>
    <row r="9" spans="2:7" ht="18.75" customHeight="1">
      <c r="B9" s="106">
        <f t="shared" ref="B9:B37" si="0">B8+1</f>
        <v>7</v>
      </c>
      <c r="C9" s="56">
        <f>+'Work Report Consultant'!C7</f>
        <v>3</v>
      </c>
      <c r="D9" s="54" t="str">
        <f>+'Work Report Consultant'!D7</f>
        <v>N/A</v>
      </c>
      <c r="E9" s="55" t="str">
        <f>+'Work Report Consultant'!AA7</f>
        <v>NA</v>
      </c>
    </row>
    <row r="10" spans="2:7" ht="18.75" customHeight="1">
      <c r="B10" s="106">
        <f t="shared" si="0"/>
        <v>8</v>
      </c>
      <c r="C10" s="56">
        <f>+'Work Report Consultant'!C8</f>
        <v>4</v>
      </c>
      <c r="D10" s="54" t="str">
        <f>+'Work Report Consultant'!D8</f>
        <v>N/A</v>
      </c>
      <c r="E10" s="55" t="str">
        <f>+'Work Report Consultant'!AA8</f>
        <v>NA</v>
      </c>
    </row>
    <row r="11" spans="2:7" ht="18.75" customHeight="1">
      <c r="B11" s="106">
        <f t="shared" si="0"/>
        <v>9</v>
      </c>
      <c r="C11" s="56">
        <f>+'Work Report Consultant'!C9</f>
        <v>5</v>
      </c>
      <c r="D11" s="54" t="str">
        <f>+'Work Report Consultant'!D9</f>
        <v>N/A</v>
      </c>
      <c r="E11" s="55" t="str">
        <f>+'Work Report Consultant'!AA9</f>
        <v>NA</v>
      </c>
    </row>
    <row r="12" spans="2:7" ht="18.75" customHeight="1">
      <c r="B12" s="106">
        <f t="shared" si="0"/>
        <v>10</v>
      </c>
      <c r="C12" s="56">
        <f>+'Work Report Consultant'!C10</f>
        <v>6</v>
      </c>
      <c r="D12" s="54" t="str">
        <f>+'Work Report Consultant'!D10</f>
        <v>N/A</v>
      </c>
      <c r="E12" s="55" t="str">
        <f>+'Work Report Consultant'!AA10</f>
        <v>NA</v>
      </c>
    </row>
    <row r="13" spans="2:7" ht="18.75" customHeight="1">
      <c r="B13" s="106">
        <f t="shared" si="0"/>
        <v>11</v>
      </c>
      <c r="C13" s="56">
        <f>+'Work Report Consultant'!C11</f>
        <v>7</v>
      </c>
      <c r="D13" s="54" t="str">
        <f>+'Work Report Consultant'!D11</f>
        <v>N/A</v>
      </c>
      <c r="E13" s="55" t="str">
        <f>+'Work Report Consultant'!AA11</f>
        <v>NA</v>
      </c>
    </row>
    <row r="14" spans="2:7" ht="18.75" customHeight="1">
      <c r="B14" s="106">
        <f t="shared" si="0"/>
        <v>12</v>
      </c>
      <c r="C14" s="56">
        <f>+'Work Report Consultant'!C12</f>
        <v>8</v>
      </c>
      <c r="D14" s="54" t="str">
        <f>+'Work Report Consultant'!D12</f>
        <v>N/A</v>
      </c>
      <c r="E14" s="55" t="str">
        <f>+'Work Report Consultant'!AA12</f>
        <v>NA</v>
      </c>
    </row>
    <row r="15" spans="2:7" ht="18.75" customHeight="1">
      <c r="B15" s="106">
        <f t="shared" si="0"/>
        <v>13</v>
      </c>
      <c r="C15" s="56">
        <f>+'Work Report Consultant'!C13</f>
        <v>9</v>
      </c>
      <c r="D15" s="54" t="str">
        <f>+'Work Report Consultant'!D13</f>
        <v>N/A</v>
      </c>
      <c r="E15" s="55" t="str">
        <f>+'Work Report Consultant'!AA13</f>
        <v>NA</v>
      </c>
    </row>
    <row r="16" spans="2:7" ht="18.75" customHeight="1">
      <c r="B16" s="106">
        <f t="shared" si="0"/>
        <v>14</v>
      </c>
      <c r="C16" s="56">
        <f>+'Work Report Consultant'!C14</f>
        <v>10</v>
      </c>
      <c r="D16" s="54" t="str">
        <f>+'Work Report Consultant'!D14</f>
        <v>N/A</v>
      </c>
      <c r="E16" s="55" t="str">
        <f>+'Work Report Consultant'!AA14</f>
        <v>NA</v>
      </c>
    </row>
    <row r="17" spans="2:5" ht="18.75" customHeight="1">
      <c r="B17" s="106">
        <f t="shared" si="0"/>
        <v>15</v>
      </c>
      <c r="C17" s="56">
        <f>+'Work Report Consultant'!C15</f>
        <v>11</v>
      </c>
      <c r="D17" s="54" t="str">
        <f>+'Work Report Consultant'!D15</f>
        <v>N/A</v>
      </c>
      <c r="E17" s="55" t="str">
        <f>+'Work Report Consultant'!AA15</f>
        <v>NA</v>
      </c>
    </row>
    <row r="18" spans="2:5" ht="18.75" customHeight="1">
      <c r="B18" s="106">
        <f t="shared" si="0"/>
        <v>16</v>
      </c>
      <c r="C18" s="56">
        <f>+'Work Report Consultant'!C16</f>
        <v>12</v>
      </c>
      <c r="D18" s="54" t="str">
        <f>+'Work Report Consultant'!D16</f>
        <v>N/A</v>
      </c>
      <c r="E18" s="55" t="str">
        <f>+'Work Report Consultant'!AA16</f>
        <v>NA</v>
      </c>
    </row>
    <row r="19" spans="2:5" ht="18.75" customHeight="1">
      <c r="B19" s="106">
        <f t="shared" si="0"/>
        <v>17</v>
      </c>
      <c r="C19" s="56">
        <f>+'Work Report Consultant'!C17</f>
        <v>13</v>
      </c>
      <c r="D19" s="54" t="str">
        <f>+'Work Report Consultant'!D17</f>
        <v>N/A</v>
      </c>
      <c r="E19" s="55" t="str">
        <f>+'Work Report Consultant'!AA17</f>
        <v>NA</v>
      </c>
    </row>
    <row r="20" spans="2:5" ht="18.75" customHeight="1">
      <c r="B20" s="106">
        <f t="shared" si="0"/>
        <v>18</v>
      </c>
      <c r="C20" s="56">
        <f>+'Work Report Consultant'!C18</f>
        <v>14</v>
      </c>
      <c r="D20" s="54" t="str">
        <f>+'Work Report Consultant'!D18</f>
        <v>N/A</v>
      </c>
      <c r="E20" s="55" t="str">
        <f>+'Work Report Consultant'!AA18</f>
        <v>NA</v>
      </c>
    </row>
    <row r="21" spans="2:5" ht="18.75" customHeight="1">
      <c r="B21" s="106">
        <f t="shared" si="0"/>
        <v>19</v>
      </c>
      <c r="C21" s="56">
        <f>+'Work Report Consultant'!C19</f>
        <v>15</v>
      </c>
      <c r="D21" s="54" t="str">
        <f>+'Work Report Consultant'!D19</f>
        <v>N/A</v>
      </c>
      <c r="E21" s="55" t="str">
        <f>+'Work Report Consultant'!AA19</f>
        <v>NA</v>
      </c>
    </row>
    <row r="22" spans="2:5" ht="18.75" customHeight="1">
      <c r="B22" s="106">
        <f t="shared" si="0"/>
        <v>20</v>
      </c>
      <c r="C22" s="56">
        <f>+'Work Report Consultant'!C20</f>
        <v>16</v>
      </c>
      <c r="D22" s="54" t="str">
        <f>+'Work Report Consultant'!D20</f>
        <v>N/A</v>
      </c>
      <c r="E22" s="55" t="str">
        <f>+'Work Report Consultant'!AA20</f>
        <v>NA</v>
      </c>
    </row>
    <row r="23" spans="2:5" ht="18.75" customHeight="1">
      <c r="B23" s="106">
        <f t="shared" si="0"/>
        <v>21</v>
      </c>
      <c r="C23" s="56">
        <f>+'Work Report Consultant'!C21</f>
        <v>17</v>
      </c>
      <c r="D23" s="54" t="str">
        <f>+'Work Report Consultant'!D21</f>
        <v>N/A</v>
      </c>
      <c r="E23" s="55" t="str">
        <f>+'Work Report Consultant'!AA21</f>
        <v>NA</v>
      </c>
    </row>
    <row r="24" spans="2:5" ht="18.75" customHeight="1">
      <c r="B24" s="106">
        <f t="shared" si="0"/>
        <v>22</v>
      </c>
      <c r="C24" s="56">
        <f>+'Work Report Consultant'!C22</f>
        <v>18</v>
      </c>
      <c r="D24" s="54" t="str">
        <f>+'Work Report Consultant'!D22</f>
        <v>N/A</v>
      </c>
      <c r="E24" s="55" t="str">
        <f>+'Work Report Consultant'!AA22</f>
        <v>NA</v>
      </c>
    </row>
    <row r="25" spans="2:5" ht="18.75" customHeight="1">
      <c r="B25" s="106">
        <f t="shared" si="0"/>
        <v>23</v>
      </c>
      <c r="C25" s="56">
        <f>+'Work Report Consultant'!C23</f>
        <v>19</v>
      </c>
      <c r="D25" s="54" t="str">
        <f>+'Work Report Consultant'!D23</f>
        <v>N/A</v>
      </c>
      <c r="E25" s="55" t="str">
        <f>+'Work Report Consultant'!AA23</f>
        <v>NA</v>
      </c>
    </row>
    <row r="26" spans="2:5" ht="18.75" customHeight="1">
      <c r="B26" s="106">
        <f t="shared" si="0"/>
        <v>24</v>
      </c>
      <c r="C26" s="56">
        <f>+'Work Report Consultant'!C24</f>
        <v>20</v>
      </c>
      <c r="D26" s="54" t="str">
        <f>+'Work Report Consultant'!D24</f>
        <v>N/A</v>
      </c>
      <c r="E26" s="55" t="str">
        <f>+'Work Report Consultant'!AA24</f>
        <v>NA</v>
      </c>
    </row>
    <row r="27" spans="2:5" ht="18.75" customHeight="1">
      <c r="B27" s="106">
        <f t="shared" si="0"/>
        <v>25</v>
      </c>
      <c r="C27" s="56">
        <f>+'Work Report Consultant'!C25</f>
        <v>21</v>
      </c>
      <c r="D27" s="54" t="str">
        <f>+'Work Report Consultant'!D25</f>
        <v>N/A</v>
      </c>
      <c r="E27" s="55" t="str">
        <f>+'Work Report Consultant'!AA25</f>
        <v>NA</v>
      </c>
    </row>
    <row r="28" spans="2:5" ht="18.75" customHeight="1">
      <c r="B28" s="106">
        <f t="shared" si="0"/>
        <v>26</v>
      </c>
      <c r="C28" s="56">
        <f>+'Work Report Consultant'!C26</f>
        <v>22</v>
      </c>
      <c r="D28" s="54" t="str">
        <f>+'Work Report Consultant'!D26</f>
        <v>N/A</v>
      </c>
      <c r="E28" s="55" t="str">
        <f>+'Work Report Consultant'!AA26</f>
        <v>NA</v>
      </c>
    </row>
    <row r="29" spans="2:5" ht="18.75" customHeight="1">
      <c r="B29" s="106">
        <f t="shared" si="0"/>
        <v>27</v>
      </c>
      <c r="C29" s="56">
        <f>+'Work Report Consultant'!C27</f>
        <v>23</v>
      </c>
      <c r="D29" s="54" t="str">
        <f>+'Work Report Consultant'!D27</f>
        <v>N/A</v>
      </c>
      <c r="E29" s="55" t="str">
        <f>+'Work Report Consultant'!AA27</f>
        <v>NA</v>
      </c>
    </row>
    <row r="30" spans="2:5" ht="18.75" customHeight="1">
      <c r="B30" s="106">
        <f t="shared" si="0"/>
        <v>28</v>
      </c>
      <c r="C30" s="56">
        <f>+'Work Report Consultant'!C28</f>
        <v>24</v>
      </c>
      <c r="D30" s="54" t="str">
        <f>+'Work Report Consultant'!D28</f>
        <v>N/A</v>
      </c>
      <c r="E30" s="55" t="str">
        <f>+'Work Report Consultant'!AA28</f>
        <v>NA</v>
      </c>
    </row>
    <row r="31" spans="2:5" ht="18.75" customHeight="1">
      <c r="B31" s="106">
        <f t="shared" si="0"/>
        <v>29</v>
      </c>
      <c r="C31" s="56">
        <f>+'Work Report Consultant'!C29</f>
        <v>25</v>
      </c>
      <c r="D31" s="54" t="str">
        <f>+'Work Report Consultant'!D29</f>
        <v>N/A</v>
      </c>
      <c r="E31" s="55" t="str">
        <f>+'Work Report Consultant'!AA29</f>
        <v>NA</v>
      </c>
    </row>
    <row r="32" spans="2:5" ht="18.75" customHeight="1">
      <c r="B32" s="106">
        <f t="shared" si="0"/>
        <v>30</v>
      </c>
      <c r="C32" s="56">
        <f>+'Work Report Consultant'!C30</f>
        <v>26</v>
      </c>
      <c r="D32" s="54" t="str">
        <f>+'Work Report Consultant'!D30</f>
        <v>N/A</v>
      </c>
      <c r="E32" s="55" t="str">
        <f>+'Work Report Consultant'!AA30</f>
        <v>NA</v>
      </c>
    </row>
    <row r="33" spans="2:7" ht="18.75" customHeight="1">
      <c r="B33" s="106">
        <f t="shared" si="0"/>
        <v>31</v>
      </c>
      <c r="C33" s="56">
        <f>+'Work Report Consultant'!C31</f>
        <v>27</v>
      </c>
      <c r="D33" s="54" t="str">
        <f>+'Work Report Consultant'!D31</f>
        <v>N/A</v>
      </c>
      <c r="E33" s="55" t="str">
        <f>+'Work Report Consultant'!AA31</f>
        <v>NA</v>
      </c>
    </row>
    <row r="34" spans="2:7" ht="18.75" customHeight="1">
      <c r="B34" s="106">
        <f t="shared" si="0"/>
        <v>32</v>
      </c>
      <c r="C34" s="56">
        <f>+'Work Report Consultant'!C32</f>
        <v>28</v>
      </c>
      <c r="D34" s="54" t="str">
        <f>+'Work Report Consultant'!D32</f>
        <v>N/A</v>
      </c>
      <c r="E34" s="55" t="str">
        <f>+'Work Report Consultant'!AA32</f>
        <v>NA</v>
      </c>
    </row>
    <row r="35" spans="2:7" ht="18.75" customHeight="1">
      <c r="B35" s="106">
        <f t="shared" si="0"/>
        <v>33</v>
      </c>
      <c r="C35" s="56">
        <f>+'Work Report Consultant'!C33</f>
        <v>29</v>
      </c>
      <c r="D35" s="54" t="str">
        <f>+'Work Report Consultant'!D33</f>
        <v>N/A</v>
      </c>
      <c r="E35" s="55" t="str">
        <f>+'Work Report Consultant'!AA33</f>
        <v>NA</v>
      </c>
    </row>
    <row r="36" spans="2:7" ht="18.75" customHeight="1">
      <c r="B36" s="106">
        <f t="shared" si="0"/>
        <v>34</v>
      </c>
      <c r="C36" s="56">
        <f>+'Work Report Consultant'!C34</f>
        <v>30</v>
      </c>
      <c r="D36" s="54" t="str">
        <f>+'Work Report Consultant'!D34</f>
        <v>N/A</v>
      </c>
      <c r="E36" s="55" t="str">
        <f>+'Work Report Consultant'!AA34</f>
        <v>NA</v>
      </c>
    </row>
    <row r="37" spans="2:7" ht="18.75" customHeight="1">
      <c r="B37" s="106">
        <f t="shared" si="0"/>
        <v>35</v>
      </c>
      <c r="C37" s="56">
        <f>+'Work Report Consultant'!C35</f>
        <v>31</v>
      </c>
      <c r="D37" s="54" t="str">
        <f>+'Work Report Consultant'!D35</f>
        <v>N/A</v>
      </c>
      <c r="E37" s="55" t="str">
        <f>+'Work Report Consultant'!AA35</f>
        <v>NA</v>
      </c>
    </row>
    <row r="38" spans="2:7" ht="18.75" customHeight="1" thickBot="1"/>
    <row r="39" spans="2:7" ht="23.25" customHeight="1" thickBot="1">
      <c r="B39" s="71" t="s">
        <v>46</v>
      </c>
      <c r="C39" s="58"/>
      <c r="D39" s="57"/>
      <c r="E39" s="59">
        <f>SUM(E7:E37)</f>
        <v>0</v>
      </c>
      <c r="F39" s="73" t="s">
        <v>49</v>
      </c>
      <c r="G39" s="72"/>
    </row>
    <row r="42" spans="2:7">
      <c r="B42" s="110" t="s">
        <v>69</v>
      </c>
      <c r="C42" s="111"/>
      <c r="D42" s="112"/>
      <c r="E42" s="113"/>
      <c r="F42" s="112"/>
      <c r="G42" s="114"/>
    </row>
    <row r="43" spans="2:7">
      <c r="B43" s="123"/>
      <c r="G43" s="116"/>
    </row>
    <row r="44" spans="2:7">
      <c r="B44" s="117" t="s">
        <v>59</v>
      </c>
      <c r="D44" s="133" t="s">
        <v>64</v>
      </c>
      <c r="E44" s="107" t="s">
        <v>62</v>
      </c>
      <c r="F44" s="135" t="s">
        <v>83</v>
      </c>
      <c r="G44" s="137" t="s">
        <v>85</v>
      </c>
    </row>
    <row r="45" spans="2:7">
      <c r="B45" s="115" t="s">
        <v>60</v>
      </c>
      <c r="D45" s="134" t="s">
        <v>61</v>
      </c>
      <c r="E45" s="56" t="s">
        <v>63</v>
      </c>
      <c r="F45" s="136" t="s">
        <v>63</v>
      </c>
      <c r="G45" s="116"/>
    </row>
    <row r="46" spans="2:7">
      <c r="B46" s="115" t="s">
        <v>60</v>
      </c>
      <c r="D46" s="134" t="s">
        <v>61</v>
      </c>
      <c r="E46" s="56" t="s">
        <v>63</v>
      </c>
      <c r="F46" s="136" t="s">
        <v>63</v>
      </c>
      <c r="G46" s="116"/>
    </row>
    <row r="47" spans="2:7">
      <c r="B47" s="115" t="s">
        <v>60</v>
      </c>
      <c r="D47" s="134" t="s">
        <v>61</v>
      </c>
      <c r="E47" s="56" t="s">
        <v>63</v>
      </c>
      <c r="F47" s="136" t="s">
        <v>63</v>
      </c>
      <c r="G47" s="116"/>
    </row>
    <row r="48" spans="2:7">
      <c r="B48" s="115" t="s">
        <v>60</v>
      </c>
      <c r="D48" s="134" t="s">
        <v>61</v>
      </c>
      <c r="E48" s="56" t="s">
        <v>63</v>
      </c>
      <c r="F48" s="136" t="s">
        <v>63</v>
      </c>
      <c r="G48" s="116"/>
    </row>
    <row r="49" spans="2:7">
      <c r="B49" s="115" t="s">
        <v>60</v>
      </c>
      <c r="D49" s="134" t="s">
        <v>61</v>
      </c>
      <c r="E49" s="56" t="s">
        <v>63</v>
      </c>
      <c r="F49" s="136" t="s">
        <v>63</v>
      </c>
      <c r="G49" s="116"/>
    </row>
    <row r="50" spans="2:7">
      <c r="B50" s="115" t="s">
        <v>60</v>
      </c>
      <c r="D50" s="134" t="s">
        <v>61</v>
      </c>
      <c r="E50" s="56" t="s">
        <v>63</v>
      </c>
      <c r="F50" s="136" t="s">
        <v>63</v>
      </c>
      <c r="G50" s="116"/>
    </row>
    <row r="51" spans="2:7">
      <c r="B51" s="115" t="s">
        <v>60</v>
      </c>
      <c r="D51" s="134" t="s">
        <v>61</v>
      </c>
      <c r="E51" s="56" t="s">
        <v>63</v>
      </c>
      <c r="F51" s="136" t="s">
        <v>63</v>
      </c>
      <c r="G51" s="116"/>
    </row>
    <row r="52" spans="2:7">
      <c r="B52" s="115"/>
      <c r="G52" s="116"/>
    </row>
    <row r="53" spans="2:7">
      <c r="B53" s="122" t="s">
        <v>68</v>
      </c>
      <c r="G53" s="116"/>
    </row>
    <row r="54" spans="2:7">
      <c r="B54" s="121" t="s">
        <v>65</v>
      </c>
      <c r="G54" s="116"/>
    </row>
    <row r="55" spans="2:7">
      <c r="B55" s="121" t="s">
        <v>66</v>
      </c>
      <c r="G55" s="116"/>
    </row>
    <row r="56" spans="2:7">
      <c r="B56" s="120"/>
      <c r="C56" s="109"/>
      <c r="D56" s="62"/>
      <c r="E56" s="118"/>
      <c r="F56" s="62"/>
      <c r="G56" s="119"/>
    </row>
    <row r="57" spans="2:7" ht="37.5" customHeight="1">
      <c r="B57" s="63" t="s">
        <v>67</v>
      </c>
      <c r="E57" s="56"/>
      <c r="F57" s="62"/>
      <c r="G57" s="62"/>
    </row>
    <row r="58" spans="2:7">
      <c r="E58" s="56"/>
    </row>
    <row r="59" spans="2:7" ht="30.75" customHeight="1">
      <c r="B59" s="63" t="s">
        <v>56</v>
      </c>
      <c r="C59" s="107"/>
      <c r="D59" s="63"/>
      <c r="E59" s="56"/>
      <c r="F59" s="54" t="s">
        <v>57</v>
      </c>
    </row>
    <row r="60" spans="2:7" ht="36" customHeight="1">
      <c r="B60" s="64" t="s">
        <v>58</v>
      </c>
      <c r="E60" s="56"/>
      <c r="F60" s="62"/>
      <c r="G60" s="62"/>
    </row>
  </sheetData>
  <pageMargins left="0.70866141732283472" right="0.31496062992125984" top="0.74803149606299213" bottom="0.35433070866141736" header="0.31496062992125984" footer="0.31496062992125984"/>
  <pageSetup paperSize="9" scale="7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B2:G60"/>
  <sheetViews>
    <sheetView showGridLines="0" showRowColHeaders="0" zoomScale="50" zoomScaleNormal="50" workbookViewId="0">
      <selection activeCell="E22" sqref="E22"/>
    </sheetView>
  </sheetViews>
  <sheetFormatPr defaultColWidth="8.88671875" defaultRowHeight="15"/>
  <cols>
    <col min="1" max="1" width="8.88671875" style="54"/>
    <col min="2" max="2" width="11.5546875" style="54" customWidth="1"/>
    <col min="3" max="3" width="6.21875" style="56" customWidth="1"/>
    <col min="4" max="4" width="16.6640625" style="54" bestFit="1" customWidth="1"/>
    <col min="5" max="5" width="14.77734375" style="55" customWidth="1"/>
    <col min="6" max="6" width="10.77734375" style="54" customWidth="1"/>
    <col min="7" max="7" width="36.77734375" style="54" customWidth="1"/>
    <col min="8" max="16384" width="8.88671875" style="54"/>
  </cols>
  <sheetData>
    <row r="2" spans="2:7" ht="26.25" customHeight="1">
      <c r="B2" s="65" t="str">
        <f>+'Work Report Consultant'!B2</f>
        <v>Consultant work report 2026</v>
      </c>
      <c r="C2" s="66"/>
      <c r="D2" s="67"/>
      <c r="E2" s="68"/>
      <c r="G2" s="132" t="s">
        <v>91</v>
      </c>
    </row>
    <row r="3" spans="2:7" ht="27.75" customHeight="1">
      <c r="B3" s="69" t="str">
        <f>+'Work Report Consultant'!B3</f>
        <v>Name:</v>
      </c>
      <c r="C3" s="70" t="str">
        <f>+'Work Report Consultant'!E3</f>
        <v>Jorge Benito Sanabrias</v>
      </c>
      <c r="D3" s="67"/>
      <c r="E3" s="68"/>
      <c r="F3" s="67"/>
    </row>
    <row r="4" spans="2:7" ht="24.75" customHeight="1">
      <c r="B4" s="69">
        <f>+'Work Report Consultant'!P3</f>
        <v>0</v>
      </c>
      <c r="C4" s="70" t="str">
        <f>+'Work Report Consultant'!R3</f>
        <v>Anzen Engineering Switzerland</v>
      </c>
      <c r="D4" s="67"/>
      <c r="E4" s="68"/>
      <c r="F4" s="67"/>
    </row>
    <row r="5" spans="2:7" ht="15.75" thickBot="1"/>
    <row r="6" spans="2:7" ht="21.75" customHeight="1" thickBot="1">
      <c r="B6" s="71" t="str">
        <f>+'Work Report Consultant'!F4</f>
        <v>FEBRUARY</v>
      </c>
      <c r="C6" s="59">
        <f>+'Work Report Consultant'!AV3</f>
        <v>2026</v>
      </c>
      <c r="D6" s="73"/>
      <c r="E6" s="59"/>
      <c r="F6" s="59" t="s">
        <v>48</v>
      </c>
      <c r="G6" s="74"/>
    </row>
    <row r="7" spans="2:7" ht="18.75" customHeight="1">
      <c r="B7" s="106">
        <f>+'Print January Summary'!B37+1</f>
        <v>36</v>
      </c>
      <c r="C7" s="56">
        <f>+'Work Report Consultant'!G5</f>
        <v>1</v>
      </c>
      <c r="D7" s="54" t="str">
        <f>+'Work Report Consultant'!H5</f>
        <v>N/A</v>
      </c>
      <c r="E7" s="55" t="str">
        <f>+'Work Report Consultant'!AB5</f>
        <v>NA</v>
      </c>
    </row>
    <row r="8" spans="2:7" ht="18.75" customHeight="1">
      <c r="B8" s="106">
        <f>+B7+1</f>
        <v>37</v>
      </c>
      <c r="C8" s="56">
        <f>+'Work Report Consultant'!G6</f>
        <v>2</v>
      </c>
      <c r="D8" s="54" t="str">
        <f>+'Work Report Consultant'!H6</f>
        <v>N/A</v>
      </c>
      <c r="E8" s="55" t="str">
        <f>+'Work Report Consultant'!AB6</f>
        <v>NA</v>
      </c>
    </row>
    <row r="9" spans="2:7" ht="18.75" customHeight="1">
      <c r="B9" s="106">
        <f t="shared" ref="B9:B35" si="0">+B8+1</f>
        <v>38</v>
      </c>
      <c r="C9" s="56">
        <f>+'Work Report Consultant'!G7</f>
        <v>4</v>
      </c>
      <c r="D9" s="54" t="str">
        <f>+'Work Report Consultant'!H7</f>
        <v>N/A</v>
      </c>
      <c r="E9" s="55" t="str">
        <f>+'Work Report Consultant'!AB7</f>
        <v>NA</v>
      </c>
    </row>
    <row r="10" spans="2:7" ht="18.75" customHeight="1">
      <c r="B10" s="106">
        <f t="shared" si="0"/>
        <v>39</v>
      </c>
      <c r="C10" s="56">
        <f>+'Work Report Consultant'!G8</f>
        <v>4</v>
      </c>
      <c r="D10" s="54" t="str">
        <f>+'Work Report Consultant'!H8</f>
        <v>N/A</v>
      </c>
      <c r="E10" s="55" t="str">
        <f>+'Work Report Consultant'!AB8</f>
        <v>NA</v>
      </c>
    </row>
    <row r="11" spans="2:7" ht="18.75" customHeight="1">
      <c r="B11" s="106">
        <f t="shared" si="0"/>
        <v>40</v>
      </c>
      <c r="C11" s="56">
        <f>+'Work Report Consultant'!G9</f>
        <v>5</v>
      </c>
      <c r="D11" s="54" t="str">
        <f>+'Work Report Consultant'!H9</f>
        <v>N/A</v>
      </c>
      <c r="E11" s="55" t="str">
        <f>+'Work Report Consultant'!AB9</f>
        <v>NA</v>
      </c>
    </row>
    <row r="12" spans="2:7" ht="18.75" customHeight="1">
      <c r="B12" s="106">
        <f t="shared" si="0"/>
        <v>41</v>
      </c>
      <c r="C12" s="56">
        <f>+'Work Report Consultant'!G10</f>
        <v>6</v>
      </c>
      <c r="D12" s="54" t="str">
        <f>+'Work Report Consultant'!H10</f>
        <v>N/A</v>
      </c>
      <c r="E12" s="55" t="str">
        <f>+'Work Report Consultant'!AB10</f>
        <v>NA</v>
      </c>
    </row>
    <row r="13" spans="2:7" ht="18.75" customHeight="1">
      <c r="B13" s="106">
        <f t="shared" si="0"/>
        <v>42</v>
      </c>
      <c r="C13" s="56">
        <f>+'Work Report Consultant'!G11</f>
        <v>7</v>
      </c>
      <c r="D13" s="54" t="str">
        <f>+'Work Report Consultant'!H11</f>
        <v>N/A</v>
      </c>
      <c r="E13" s="55" t="str">
        <f>+'Work Report Consultant'!AB11</f>
        <v>NA</v>
      </c>
    </row>
    <row r="14" spans="2:7" ht="18.75" customHeight="1">
      <c r="B14" s="106">
        <f t="shared" si="0"/>
        <v>43</v>
      </c>
      <c r="C14" s="56">
        <f>+'Work Report Consultant'!G12</f>
        <v>8</v>
      </c>
      <c r="D14" s="54" t="str">
        <f>+'Work Report Consultant'!H12</f>
        <v>N/A</v>
      </c>
      <c r="E14" s="55" t="str">
        <f>+'Work Report Consultant'!AB12</f>
        <v>NA</v>
      </c>
    </row>
    <row r="15" spans="2:7" ht="18.75" customHeight="1">
      <c r="B15" s="106">
        <f t="shared" si="0"/>
        <v>44</v>
      </c>
      <c r="C15" s="56">
        <f>+'Work Report Consultant'!G13</f>
        <v>9</v>
      </c>
      <c r="D15" s="54" t="str">
        <f>+'Work Report Consultant'!H13</f>
        <v>N/A</v>
      </c>
      <c r="E15" s="55" t="str">
        <f>+'Work Report Consultant'!AB13</f>
        <v>NA</v>
      </c>
    </row>
    <row r="16" spans="2:7" ht="18.75" customHeight="1">
      <c r="B16" s="106">
        <f t="shared" si="0"/>
        <v>45</v>
      </c>
      <c r="C16" s="56">
        <f>+'Work Report Consultant'!G14</f>
        <v>10</v>
      </c>
      <c r="D16" s="54" t="str">
        <f>+'Work Report Consultant'!H14</f>
        <v>N/A</v>
      </c>
      <c r="E16" s="55" t="str">
        <f>+'Work Report Consultant'!AB14</f>
        <v>NA</v>
      </c>
    </row>
    <row r="17" spans="2:5" ht="18.75" customHeight="1">
      <c r="B17" s="106">
        <f t="shared" si="0"/>
        <v>46</v>
      </c>
      <c r="C17" s="56">
        <f>+'Work Report Consultant'!G15</f>
        <v>11</v>
      </c>
      <c r="D17" s="54" t="str">
        <f>+'Work Report Consultant'!H15</f>
        <v>N/A</v>
      </c>
      <c r="E17" s="55" t="str">
        <f>+'Work Report Consultant'!AB15</f>
        <v>NA</v>
      </c>
    </row>
    <row r="18" spans="2:5" ht="18.75" customHeight="1">
      <c r="B18" s="106">
        <f t="shared" si="0"/>
        <v>47</v>
      </c>
      <c r="C18" s="56">
        <f>+'Work Report Consultant'!G16</f>
        <v>12</v>
      </c>
      <c r="D18" s="54" t="str">
        <f>+'Work Report Consultant'!H16</f>
        <v>N/A</v>
      </c>
      <c r="E18" s="55" t="str">
        <f>+'Work Report Consultant'!AB16</f>
        <v>NA</v>
      </c>
    </row>
    <row r="19" spans="2:5" ht="18.75" customHeight="1">
      <c r="B19" s="106">
        <f t="shared" si="0"/>
        <v>48</v>
      </c>
      <c r="C19" s="56">
        <f>+'Work Report Consultant'!G17</f>
        <v>13</v>
      </c>
      <c r="D19" s="54" t="str">
        <f>+'Work Report Consultant'!H17</f>
        <v>N/A</v>
      </c>
      <c r="E19" s="55" t="str">
        <f>+'Work Report Consultant'!AB17</f>
        <v>NA</v>
      </c>
    </row>
    <row r="20" spans="2:5" ht="18.75" customHeight="1">
      <c r="B20" s="106">
        <f t="shared" si="0"/>
        <v>49</v>
      </c>
      <c r="C20" s="56">
        <f>+'Work Report Consultant'!G18</f>
        <v>14</v>
      </c>
      <c r="D20" s="54" t="str">
        <f>+'Work Report Consultant'!H18</f>
        <v>N/A</v>
      </c>
      <c r="E20" s="55" t="str">
        <f>+'Work Report Consultant'!AB18</f>
        <v>NA</v>
      </c>
    </row>
    <row r="21" spans="2:5" ht="18.75" customHeight="1">
      <c r="B21" s="106">
        <f t="shared" si="0"/>
        <v>50</v>
      </c>
      <c r="C21" s="56">
        <f>+'Work Report Consultant'!G19</f>
        <v>15</v>
      </c>
      <c r="D21" s="54" t="str">
        <f>+'Work Report Consultant'!H19</f>
        <v>N/A</v>
      </c>
      <c r="E21" s="55" t="str">
        <f>+'Work Report Consultant'!AB19</f>
        <v>NA</v>
      </c>
    </row>
    <row r="22" spans="2:5" ht="18.75" customHeight="1">
      <c r="B22" s="106">
        <f t="shared" si="0"/>
        <v>51</v>
      </c>
      <c r="C22" s="56">
        <f>+'Work Report Consultant'!G20</f>
        <v>16</v>
      </c>
      <c r="D22" s="54" t="str">
        <f>+'Work Report Consultant'!H20</f>
        <v>N/A</v>
      </c>
      <c r="E22" s="55" t="str">
        <f>+'Work Report Consultant'!AB20</f>
        <v>NA</v>
      </c>
    </row>
    <row r="23" spans="2:5" ht="18.75" customHeight="1">
      <c r="B23" s="106">
        <f t="shared" si="0"/>
        <v>52</v>
      </c>
      <c r="C23" s="56">
        <f>+'Work Report Consultant'!G21</f>
        <v>17</v>
      </c>
      <c r="D23" s="54" t="str">
        <f>+'Work Report Consultant'!H21</f>
        <v>N/A</v>
      </c>
      <c r="E23" s="55" t="str">
        <f>+'Work Report Consultant'!AB21</f>
        <v>NA</v>
      </c>
    </row>
    <row r="24" spans="2:5" ht="18.75" customHeight="1">
      <c r="B24" s="106">
        <f t="shared" si="0"/>
        <v>53</v>
      </c>
      <c r="C24" s="56">
        <f>+'Work Report Consultant'!G22</f>
        <v>18</v>
      </c>
      <c r="D24" s="54" t="str">
        <f>+'Work Report Consultant'!H22</f>
        <v>N/A</v>
      </c>
      <c r="E24" s="55" t="str">
        <f>+'Work Report Consultant'!AB22</f>
        <v>NA</v>
      </c>
    </row>
    <row r="25" spans="2:5" ht="18.75" customHeight="1">
      <c r="B25" s="106">
        <f t="shared" si="0"/>
        <v>54</v>
      </c>
      <c r="C25" s="56">
        <f>+'Work Report Consultant'!G23</f>
        <v>19</v>
      </c>
      <c r="D25" s="54" t="str">
        <f>+'Work Report Consultant'!H23</f>
        <v>N/A</v>
      </c>
      <c r="E25" s="55" t="str">
        <f>+'Work Report Consultant'!AB23</f>
        <v>NA</v>
      </c>
    </row>
    <row r="26" spans="2:5" ht="18.75" customHeight="1">
      <c r="B26" s="106">
        <f t="shared" si="0"/>
        <v>55</v>
      </c>
      <c r="C26" s="56">
        <f>+'Work Report Consultant'!G24</f>
        <v>20</v>
      </c>
      <c r="D26" s="54" t="str">
        <f>+'Work Report Consultant'!H24</f>
        <v>N/A</v>
      </c>
      <c r="E26" s="55" t="str">
        <f>+'Work Report Consultant'!AB24</f>
        <v>NA</v>
      </c>
    </row>
    <row r="27" spans="2:5" ht="18.75" customHeight="1">
      <c r="B27" s="106">
        <f t="shared" si="0"/>
        <v>56</v>
      </c>
      <c r="C27" s="56">
        <f>+'Work Report Consultant'!G25</f>
        <v>21</v>
      </c>
      <c r="D27" s="54" t="str">
        <f>+'Work Report Consultant'!H25</f>
        <v>N/A</v>
      </c>
      <c r="E27" s="55" t="str">
        <f>+'Work Report Consultant'!AB25</f>
        <v>NA</v>
      </c>
    </row>
    <row r="28" spans="2:5" ht="18.75" customHeight="1">
      <c r="B28" s="106">
        <f t="shared" si="0"/>
        <v>57</v>
      </c>
      <c r="C28" s="56">
        <f>+'Work Report Consultant'!G26</f>
        <v>22</v>
      </c>
      <c r="D28" s="54" t="str">
        <f>+'Work Report Consultant'!H26</f>
        <v>N/A</v>
      </c>
      <c r="E28" s="55" t="str">
        <f>+'Work Report Consultant'!AB26</f>
        <v>NA</v>
      </c>
    </row>
    <row r="29" spans="2:5" ht="18.75" customHeight="1">
      <c r="B29" s="106">
        <f t="shared" si="0"/>
        <v>58</v>
      </c>
      <c r="C29" s="56">
        <f>+'Work Report Consultant'!G27</f>
        <v>23</v>
      </c>
      <c r="D29" s="54" t="str">
        <f>+'Work Report Consultant'!H27</f>
        <v>N/A</v>
      </c>
      <c r="E29" s="55" t="str">
        <f>+'Work Report Consultant'!AB27</f>
        <v>NA</v>
      </c>
    </row>
    <row r="30" spans="2:5" ht="18.75" customHeight="1">
      <c r="B30" s="106">
        <f t="shared" si="0"/>
        <v>59</v>
      </c>
      <c r="C30" s="56">
        <f>+'Work Report Consultant'!G28</f>
        <v>24</v>
      </c>
      <c r="D30" s="54" t="str">
        <f>+'Work Report Consultant'!H28</f>
        <v>N/A</v>
      </c>
      <c r="E30" s="55" t="str">
        <f>+'Work Report Consultant'!AB28</f>
        <v>NA</v>
      </c>
    </row>
    <row r="31" spans="2:5" ht="18.75" customHeight="1">
      <c r="B31" s="106">
        <f t="shared" si="0"/>
        <v>60</v>
      </c>
      <c r="C31" s="56">
        <f>+'Work Report Consultant'!G29</f>
        <v>25</v>
      </c>
      <c r="D31" s="54" t="str">
        <f>+'Work Report Consultant'!H29</f>
        <v>N/A</v>
      </c>
      <c r="E31" s="55" t="str">
        <f>+'Work Report Consultant'!AB29</f>
        <v>NA</v>
      </c>
    </row>
    <row r="32" spans="2:5" ht="18.75" customHeight="1">
      <c r="B32" s="106">
        <f t="shared" si="0"/>
        <v>61</v>
      </c>
      <c r="C32" s="56">
        <f>+'Work Report Consultant'!G30</f>
        <v>26</v>
      </c>
      <c r="D32" s="54" t="str">
        <f>+'Work Report Consultant'!H30</f>
        <v>N/A</v>
      </c>
      <c r="E32" s="55" t="str">
        <f>+'Work Report Consultant'!AB30</f>
        <v>NA</v>
      </c>
    </row>
    <row r="33" spans="2:7" ht="18.75" customHeight="1">
      <c r="B33" s="106">
        <f t="shared" si="0"/>
        <v>62</v>
      </c>
      <c r="C33" s="56">
        <f>+'Work Report Consultant'!G31</f>
        <v>27</v>
      </c>
      <c r="D33" s="54" t="str">
        <f>+'Work Report Consultant'!H31</f>
        <v>N/A</v>
      </c>
      <c r="E33" s="55" t="str">
        <f>+'Work Report Consultant'!AB31</f>
        <v>NA</v>
      </c>
    </row>
    <row r="34" spans="2:7" ht="18.75" customHeight="1">
      <c r="B34" s="106">
        <f t="shared" si="0"/>
        <v>63</v>
      </c>
      <c r="C34" s="56">
        <f>+'Work Report Consultant'!G32</f>
        <v>28</v>
      </c>
      <c r="D34" s="54" t="str">
        <f>+'Work Report Consultant'!H32</f>
        <v>N/A</v>
      </c>
      <c r="E34" s="55" t="str">
        <f>+'Work Report Consultant'!AB32</f>
        <v>NA</v>
      </c>
    </row>
    <row r="35" spans="2:7" ht="18.75" customHeight="1">
      <c r="B35" s="106">
        <f t="shared" si="0"/>
        <v>64</v>
      </c>
      <c r="C35" s="56">
        <f>+'Work Report Consultant'!G33</f>
        <v>0</v>
      </c>
      <c r="D35" s="54">
        <f>+'Work Report Consultant'!H33</f>
        <v>0</v>
      </c>
      <c r="E35" s="55">
        <f>+'Work Report Consultant'!AB33</f>
        <v>1</v>
      </c>
    </row>
    <row r="36" spans="2:7" ht="18.75" customHeight="1"/>
    <row r="37" spans="2:7" ht="18.75" customHeight="1"/>
    <row r="38" spans="2:7" ht="18.75" customHeight="1" thickBot="1"/>
    <row r="39" spans="2:7" ht="23.25" customHeight="1" thickBot="1">
      <c r="B39" s="71" t="s">
        <v>46</v>
      </c>
      <c r="C39" s="58"/>
      <c r="D39" s="57"/>
      <c r="E39" s="59">
        <f>SUM(E7:E37)</f>
        <v>1</v>
      </c>
      <c r="F39" s="73" t="s">
        <v>49</v>
      </c>
      <c r="G39" s="72"/>
    </row>
    <row r="42" spans="2:7">
      <c r="B42" s="110" t="s">
        <v>69</v>
      </c>
      <c r="C42" s="111"/>
      <c r="D42" s="112"/>
      <c r="E42" s="113"/>
      <c r="F42" s="112"/>
      <c r="G42" s="114"/>
    </row>
    <row r="43" spans="2:7">
      <c r="B43" s="123"/>
      <c r="G43" s="116"/>
    </row>
    <row r="44" spans="2:7">
      <c r="B44" s="117" t="s">
        <v>59</v>
      </c>
      <c r="D44" s="133" t="s">
        <v>64</v>
      </c>
      <c r="E44" s="107" t="s">
        <v>62</v>
      </c>
      <c r="F44" s="135" t="s">
        <v>83</v>
      </c>
      <c r="G44" s="137" t="s">
        <v>85</v>
      </c>
    </row>
    <row r="45" spans="2:7">
      <c r="B45" s="115" t="s">
        <v>60</v>
      </c>
      <c r="D45" s="134" t="s">
        <v>61</v>
      </c>
      <c r="E45" s="56" t="s">
        <v>63</v>
      </c>
      <c r="F45" s="136" t="s">
        <v>63</v>
      </c>
      <c r="G45" s="116"/>
    </row>
    <row r="46" spans="2:7">
      <c r="B46" s="115" t="s">
        <v>60</v>
      </c>
      <c r="D46" s="134" t="s">
        <v>61</v>
      </c>
      <c r="E46" s="56" t="s">
        <v>63</v>
      </c>
      <c r="F46" s="136" t="s">
        <v>63</v>
      </c>
      <c r="G46" s="116"/>
    </row>
    <row r="47" spans="2:7">
      <c r="B47" s="115" t="s">
        <v>60</v>
      </c>
      <c r="D47" s="134" t="s">
        <v>61</v>
      </c>
      <c r="E47" s="56" t="s">
        <v>63</v>
      </c>
      <c r="F47" s="136" t="s">
        <v>63</v>
      </c>
      <c r="G47" s="116"/>
    </row>
    <row r="48" spans="2:7">
      <c r="B48" s="115" t="s">
        <v>60</v>
      </c>
      <c r="D48" s="134" t="s">
        <v>61</v>
      </c>
      <c r="E48" s="56" t="s">
        <v>63</v>
      </c>
      <c r="F48" s="136" t="s">
        <v>63</v>
      </c>
      <c r="G48" s="116"/>
    </row>
    <row r="49" spans="2:7">
      <c r="B49" s="115" t="s">
        <v>60</v>
      </c>
      <c r="D49" s="134" t="s">
        <v>61</v>
      </c>
      <c r="E49" s="56" t="s">
        <v>63</v>
      </c>
      <c r="F49" s="136" t="s">
        <v>63</v>
      </c>
      <c r="G49" s="116"/>
    </row>
    <row r="50" spans="2:7">
      <c r="B50" s="115" t="s">
        <v>60</v>
      </c>
      <c r="D50" s="134" t="s">
        <v>61</v>
      </c>
      <c r="E50" s="56" t="s">
        <v>63</v>
      </c>
      <c r="F50" s="136" t="s">
        <v>63</v>
      </c>
      <c r="G50" s="116"/>
    </row>
    <row r="51" spans="2:7">
      <c r="B51" s="115" t="s">
        <v>60</v>
      </c>
      <c r="D51" s="134" t="s">
        <v>61</v>
      </c>
      <c r="E51" s="56" t="s">
        <v>63</v>
      </c>
      <c r="F51" s="136" t="s">
        <v>63</v>
      </c>
      <c r="G51" s="116"/>
    </row>
    <row r="52" spans="2:7">
      <c r="B52" s="115"/>
      <c r="G52" s="116"/>
    </row>
    <row r="53" spans="2:7">
      <c r="B53" s="122" t="s">
        <v>68</v>
      </c>
      <c r="G53" s="116"/>
    </row>
    <row r="54" spans="2:7">
      <c r="B54" s="121" t="s">
        <v>65</v>
      </c>
      <c r="G54" s="116"/>
    </row>
    <row r="55" spans="2:7">
      <c r="B55" s="121" t="s">
        <v>66</v>
      </c>
      <c r="G55" s="116"/>
    </row>
    <row r="56" spans="2:7">
      <c r="B56" s="120"/>
      <c r="C56" s="109"/>
      <c r="D56" s="62"/>
      <c r="E56" s="118"/>
      <c r="F56" s="62"/>
      <c r="G56" s="119"/>
    </row>
    <row r="57" spans="2:7" ht="37.5" customHeight="1">
      <c r="B57" s="63" t="s">
        <v>47</v>
      </c>
      <c r="E57" s="56"/>
      <c r="F57" s="62"/>
      <c r="G57" s="62"/>
    </row>
    <row r="58" spans="2:7">
      <c r="E58" s="56"/>
    </row>
    <row r="59" spans="2:7" ht="30.75" customHeight="1">
      <c r="B59" s="54" t="s">
        <v>56</v>
      </c>
      <c r="E59" s="56"/>
      <c r="F59" s="54" t="s">
        <v>57</v>
      </c>
    </row>
    <row r="60" spans="2:7" ht="36" customHeight="1">
      <c r="B60" s="64" t="s">
        <v>58</v>
      </c>
      <c r="E60" s="56"/>
      <c r="F60" s="62"/>
      <c r="G60" s="62"/>
    </row>
  </sheetData>
  <pageMargins left="0.70866141732283472" right="0.31496062992125984" top="0.74803149606299213" bottom="0.35433070866141736" header="0.31496062992125984" footer="0.31496062992125984"/>
  <pageSetup paperSize="9"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B2:G60"/>
  <sheetViews>
    <sheetView showGridLines="0" showRowColHeaders="0" topLeftCell="A17" zoomScale="84" zoomScaleNormal="84" workbookViewId="0">
      <selection activeCell="F57" sqref="F57"/>
    </sheetView>
  </sheetViews>
  <sheetFormatPr defaultColWidth="8.88671875" defaultRowHeight="15"/>
  <cols>
    <col min="1" max="1" width="8.88671875" style="54"/>
    <col min="2" max="2" width="11.5546875" style="54" customWidth="1"/>
    <col min="3" max="3" width="6.21875" style="56" customWidth="1"/>
    <col min="4" max="4" width="16.6640625" style="54" bestFit="1" customWidth="1"/>
    <col min="5" max="5" width="14.77734375" style="55" customWidth="1"/>
    <col min="6" max="6" width="10.77734375" style="54" customWidth="1"/>
    <col min="7" max="7" width="36.77734375" style="54" customWidth="1"/>
    <col min="8" max="16384" width="8.88671875" style="54"/>
  </cols>
  <sheetData>
    <row r="2" spans="2:7" ht="26.25" customHeight="1">
      <c r="B2" s="65" t="str">
        <f>+'Work Report Consultant'!B2</f>
        <v>Consultant work report 2026</v>
      </c>
      <c r="C2" s="66"/>
      <c r="D2" s="67"/>
      <c r="E2" s="68"/>
      <c r="G2" s="132" t="s">
        <v>91</v>
      </c>
    </row>
    <row r="3" spans="2:7" ht="27.75" customHeight="1">
      <c r="B3" s="69" t="str">
        <f>+'Work Report Consultant'!B3</f>
        <v>Name:</v>
      </c>
      <c r="C3" s="70" t="str">
        <f>+'Work Report Consultant'!E3</f>
        <v>Jorge Benito Sanabrias</v>
      </c>
      <c r="D3" s="67"/>
      <c r="E3" s="68"/>
      <c r="F3" s="67"/>
    </row>
    <row r="4" spans="2:7" ht="24.75" customHeight="1">
      <c r="B4" s="69">
        <f>+'Work Report Consultant'!P3</f>
        <v>0</v>
      </c>
      <c r="C4" s="70" t="str">
        <f>+'Work Report Consultant'!R3</f>
        <v>Anzen Engineering Switzerland</v>
      </c>
      <c r="D4" s="67"/>
      <c r="E4" s="68"/>
      <c r="F4" s="67"/>
    </row>
    <row r="5" spans="2:7" ht="15.75" thickBot="1"/>
    <row r="6" spans="2:7" ht="21.75" customHeight="1" thickBot="1">
      <c r="B6" s="71" t="str">
        <f>+'Work Report Consultant'!J4</f>
        <v>MARCH</v>
      </c>
      <c r="C6" s="59">
        <f>+'Work Report Consultant'!AV3</f>
        <v>2026</v>
      </c>
      <c r="D6" s="73"/>
      <c r="E6" s="59"/>
      <c r="F6" s="59" t="s">
        <v>48</v>
      </c>
      <c r="G6" s="74"/>
    </row>
    <row r="7" spans="2:7" ht="18.75" customHeight="1">
      <c r="B7" s="106">
        <f>+'Work Report Consultant'!J5</f>
        <v>64</v>
      </c>
      <c r="C7" s="56">
        <f>+'Work Report Consultant'!K5</f>
        <v>1</v>
      </c>
      <c r="D7" s="129" t="str">
        <f>+'Work Report Consultant'!L5</f>
        <v>N/A</v>
      </c>
      <c r="E7" s="55" t="str">
        <f>+'Work Report Consultant'!AC5</f>
        <v>NA</v>
      </c>
    </row>
    <row r="8" spans="2:7" ht="18.75" customHeight="1">
      <c r="B8" s="106">
        <f>+B7+1</f>
        <v>65</v>
      </c>
      <c r="C8" s="56">
        <f>+'Work Report Consultant'!K6</f>
        <v>2</v>
      </c>
      <c r="D8" s="129" t="str">
        <f>+'Work Report Consultant'!L6</f>
        <v>N/A</v>
      </c>
      <c r="E8" s="55" t="str">
        <f>+'Work Report Consultant'!AC6</f>
        <v>NA</v>
      </c>
    </row>
    <row r="9" spans="2:7" ht="18.75" customHeight="1">
      <c r="B9" s="106">
        <f t="shared" ref="B9:B37" si="0">+B8+1</f>
        <v>66</v>
      </c>
      <c r="C9" s="56">
        <f>+'Work Report Consultant'!K7</f>
        <v>3</v>
      </c>
      <c r="D9" s="129" t="str">
        <f>+'Work Report Consultant'!L7</f>
        <v>N/A</v>
      </c>
      <c r="E9" s="55" t="str">
        <f>+'Work Report Consultant'!AC7</f>
        <v>NA</v>
      </c>
    </row>
    <row r="10" spans="2:7" ht="18.75" customHeight="1">
      <c r="B10" s="106">
        <f t="shared" si="0"/>
        <v>67</v>
      </c>
      <c r="C10" s="56">
        <f>+'Work Report Consultant'!K8</f>
        <v>4</v>
      </c>
      <c r="D10" s="129" t="str">
        <f>+'Work Report Consultant'!L8</f>
        <v>N/A</v>
      </c>
      <c r="E10" s="55" t="str">
        <f>+'Work Report Consultant'!AC8</f>
        <v>NA</v>
      </c>
    </row>
    <row r="11" spans="2:7" ht="18.75" customHeight="1">
      <c r="B11" s="106">
        <f t="shared" si="0"/>
        <v>68</v>
      </c>
      <c r="C11" s="56">
        <f>+'Work Report Consultant'!K9</f>
        <v>5</v>
      </c>
      <c r="D11" s="129" t="str">
        <f>+'Work Report Consultant'!L9</f>
        <v>N/A</v>
      </c>
      <c r="E11" s="55" t="str">
        <f>+'Work Report Consultant'!AC9</f>
        <v>NA</v>
      </c>
    </row>
    <row r="12" spans="2:7" ht="18.75" customHeight="1">
      <c r="B12" s="106">
        <f t="shared" si="0"/>
        <v>69</v>
      </c>
      <c r="C12" s="56">
        <f>+'Work Report Consultant'!K10</f>
        <v>6</v>
      </c>
      <c r="D12" s="129" t="str">
        <f>+'Work Report Consultant'!L10</f>
        <v>N/A</v>
      </c>
      <c r="E12" s="55" t="str">
        <f>+'Work Report Consultant'!AC10</f>
        <v>NA</v>
      </c>
    </row>
    <row r="13" spans="2:7" ht="18.75" customHeight="1">
      <c r="B13" s="106">
        <f t="shared" si="0"/>
        <v>70</v>
      </c>
      <c r="C13" s="56">
        <f>+'Work Report Consultant'!K11</f>
        <v>7</v>
      </c>
      <c r="D13" s="129" t="str">
        <f>+'Work Report Consultant'!L11</f>
        <v>N/A</v>
      </c>
      <c r="E13" s="55" t="str">
        <f>+'Work Report Consultant'!AC11</f>
        <v>NA</v>
      </c>
    </row>
    <row r="14" spans="2:7" ht="18.75" customHeight="1">
      <c r="B14" s="106">
        <f t="shared" si="0"/>
        <v>71</v>
      </c>
      <c r="C14" s="56">
        <f>+'Work Report Consultant'!K12</f>
        <v>8</v>
      </c>
      <c r="D14" s="129" t="str">
        <f>+'Work Report Consultant'!L12</f>
        <v>N/A</v>
      </c>
      <c r="E14" s="55" t="str">
        <f>+'Work Report Consultant'!AC12</f>
        <v>NA</v>
      </c>
    </row>
    <row r="15" spans="2:7" ht="18.75" customHeight="1">
      <c r="B15" s="106">
        <f t="shared" si="0"/>
        <v>72</v>
      </c>
      <c r="C15" s="56">
        <f>+'Work Report Consultant'!K13</f>
        <v>9</v>
      </c>
      <c r="D15" s="129" t="str">
        <f>+'Work Report Consultant'!L13</f>
        <v>N/A</v>
      </c>
      <c r="E15" s="55" t="str">
        <f>+'Work Report Consultant'!AC13</f>
        <v>NA</v>
      </c>
    </row>
    <row r="16" spans="2:7" ht="18.75" customHeight="1">
      <c r="B16" s="106">
        <f t="shared" si="0"/>
        <v>73</v>
      </c>
      <c r="C16" s="56">
        <f>+'Work Report Consultant'!K14</f>
        <v>10</v>
      </c>
      <c r="D16" s="129" t="str">
        <f>+'Work Report Consultant'!L14</f>
        <v>Day</v>
      </c>
      <c r="E16" s="55">
        <f>+'Work Report Consultant'!AC14</f>
        <v>1</v>
      </c>
    </row>
    <row r="17" spans="2:5" ht="18.75" customHeight="1">
      <c r="B17" s="106">
        <f t="shared" si="0"/>
        <v>74</v>
      </c>
      <c r="C17" s="56">
        <f>+'Work Report Consultant'!K15</f>
        <v>11</v>
      </c>
      <c r="D17" s="129" t="str">
        <f>+'Work Report Consultant'!L15</f>
        <v>Day</v>
      </c>
      <c r="E17" s="55">
        <f>+'Work Report Consultant'!AC15</f>
        <v>1</v>
      </c>
    </row>
    <row r="18" spans="2:5" ht="18.75" customHeight="1">
      <c r="B18" s="106">
        <f t="shared" si="0"/>
        <v>75</v>
      </c>
      <c r="C18" s="56">
        <f>+'Work Report Consultant'!K16</f>
        <v>12</v>
      </c>
      <c r="D18" s="129" t="str">
        <f>+'Work Report Consultant'!L16</f>
        <v>Day</v>
      </c>
      <c r="E18" s="55">
        <f>+'Work Report Consultant'!AC16</f>
        <v>1</v>
      </c>
    </row>
    <row r="19" spans="2:5" ht="18.75" customHeight="1">
      <c r="B19" s="106">
        <f t="shared" si="0"/>
        <v>76</v>
      </c>
      <c r="C19" s="56">
        <f>+'Work Report Consultant'!K17</f>
        <v>13</v>
      </c>
      <c r="D19" s="129" t="str">
        <f>+'Work Report Consultant'!L17</f>
        <v>Day</v>
      </c>
      <c r="E19" s="55">
        <f>+'Work Report Consultant'!AC17</f>
        <v>1</v>
      </c>
    </row>
    <row r="20" spans="2:5" ht="18.75" customHeight="1">
      <c r="B20" s="106">
        <f t="shared" si="0"/>
        <v>77</v>
      </c>
      <c r="C20" s="56">
        <f>+'Work Report Consultant'!K18</f>
        <v>14</v>
      </c>
      <c r="D20" s="129" t="str">
        <f>+'Work Report Consultant'!L18</f>
        <v>N/A</v>
      </c>
      <c r="E20" s="55" t="str">
        <f>+'Work Report Consultant'!AC18</f>
        <v>NA</v>
      </c>
    </row>
    <row r="21" spans="2:5" ht="18.75" customHeight="1">
      <c r="B21" s="106">
        <f t="shared" si="0"/>
        <v>78</v>
      </c>
      <c r="C21" s="56">
        <f>+'Work Report Consultant'!K19</f>
        <v>15</v>
      </c>
      <c r="D21" s="129" t="str">
        <f>+'Work Report Consultant'!L19</f>
        <v>N/A</v>
      </c>
      <c r="E21" s="55" t="str">
        <f>+'Work Report Consultant'!AC19</f>
        <v>NA</v>
      </c>
    </row>
    <row r="22" spans="2:5" ht="18.75" customHeight="1">
      <c r="B22" s="106">
        <f t="shared" si="0"/>
        <v>79</v>
      </c>
      <c r="C22" s="56">
        <f>+'Work Report Consultant'!K20</f>
        <v>16</v>
      </c>
      <c r="D22" s="129" t="str">
        <f>+'Work Report Consultant'!L20</f>
        <v>Day</v>
      </c>
      <c r="E22" s="55">
        <f>+'Work Report Consultant'!AC20</f>
        <v>1</v>
      </c>
    </row>
    <row r="23" spans="2:5" ht="18.75" customHeight="1">
      <c r="B23" s="106">
        <f t="shared" si="0"/>
        <v>80</v>
      </c>
      <c r="C23" s="56">
        <f>+'Work Report Consultant'!K21</f>
        <v>17</v>
      </c>
      <c r="D23" s="129" t="str">
        <f>+'Work Report Consultant'!L21</f>
        <v>Day</v>
      </c>
      <c r="E23" s="55">
        <f>+'Work Report Consultant'!AC21</f>
        <v>1</v>
      </c>
    </row>
    <row r="24" spans="2:5" ht="18.75" customHeight="1">
      <c r="B24" s="106">
        <f t="shared" si="0"/>
        <v>81</v>
      </c>
      <c r="C24" s="56">
        <f>+'Work Report Consultant'!K22</f>
        <v>18</v>
      </c>
      <c r="D24" s="129" t="str">
        <f>+'Work Report Consultant'!L22</f>
        <v>Day</v>
      </c>
      <c r="E24" s="55">
        <f>+'Work Report Consultant'!AC22</f>
        <v>1</v>
      </c>
    </row>
    <row r="25" spans="2:5" ht="18.75" customHeight="1">
      <c r="B25" s="106">
        <f t="shared" si="0"/>
        <v>82</v>
      </c>
      <c r="C25" s="56">
        <f>+'Work Report Consultant'!K23</f>
        <v>19</v>
      </c>
      <c r="D25" s="129" t="str">
        <f>+'Work Report Consultant'!L23</f>
        <v>Day</v>
      </c>
      <c r="E25" s="55">
        <f>+'Work Report Consultant'!AC23</f>
        <v>1</v>
      </c>
    </row>
    <row r="26" spans="2:5" ht="18.75" customHeight="1">
      <c r="B26" s="106">
        <f t="shared" si="0"/>
        <v>83</v>
      </c>
      <c r="C26" s="56">
        <f>+'Work Report Consultant'!K24</f>
        <v>20</v>
      </c>
      <c r="D26" s="129" t="str">
        <f>+'Work Report Consultant'!L24</f>
        <v>Day</v>
      </c>
      <c r="E26" s="55">
        <f>+'Work Report Consultant'!AC24</f>
        <v>1</v>
      </c>
    </row>
    <row r="27" spans="2:5" ht="18.75" customHeight="1">
      <c r="B27" s="106">
        <f t="shared" si="0"/>
        <v>84</v>
      </c>
      <c r="C27" s="56">
        <f>+'Work Report Consultant'!K25</f>
        <v>21</v>
      </c>
      <c r="D27" s="129" t="str">
        <f>+'Work Report Consultant'!L25</f>
        <v>N/A</v>
      </c>
      <c r="E27" s="55" t="str">
        <f>+'Work Report Consultant'!AC25</f>
        <v>NA</v>
      </c>
    </row>
    <row r="28" spans="2:5" ht="18.75" customHeight="1">
      <c r="B28" s="106">
        <f t="shared" si="0"/>
        <v>85</v>
      </c>
      <c r="C28" s="56">
        <f>+'Work Report Consultant'!K26</f>
        <v>22</v>
      </c>
      <c r="D28" s="129" t="str">
        <f>+'Work Report Consultant'!L26</f>
        <v>N/A</v>
      </c>
      <c r="E28" s="55" t="str">
        <f>+'Work Report Consultant'!AC26</f>
        <v>NA</v>
      </c>
    </row>
    <row r="29" spans="2:5" ht="18.75" customHeight="1">
      <c r="B29" s="106">
        <f t="shared" si="0"/>
        <v>86</v>
      </c>
      <c r="C29" s="56">
        <f>+'Work Report Consultant'!K27</f>
        <v>23</v>
      </c>
      <c r="D29" s="129" t="str">
        <f>+'Work Report Consultant'!L27</f>
        <v>Day</v>
      </c>
      <c r="E29" s="55">
        <f>+'Work Report Consultant'!AC27</f>
        <v>1</v>
      </c>
    </row>
    <row r="30" spans="2:5" ht="18.75" customHeight="1">
      <c r="B30" s="106">
        <f t="shared" si="0"/>
        <v>87</v>
      </c>
      <c r="C30" s="56">
        <f>+'Work Report Consultant'!K28</f>
        <v>24</v>
      </c>
      <c r="D30" s="129" t="str">
        <f>+'Work Report Consultant'!L28</f>
        <v>Day</v>
      </c>
      <c r="E30" s="55">
        <f>+'Work Report Consultant'!AC28</f>
        <v>1</v>
      </c>
    </row>
    <row r="31" spans="2:5" ht="18.75" customHeight="1">
      <c r="B31" s="106">
        <f t="shared" si="0"/>
        <v>88</v>
      </c>
      <c r="C31" s="56">
        <f>+'Work Report Consultant'!K29</f>
        <v>25</v>
      </c>
      <c r="D31" s="129" t="str">
        <f>+'Work Report Consultant'!L29</f>
        <v>Day</v>
      </c>
      <c r="E31" s="55">
        <f>+'Work Report Consultant'!AC29</f>
        <v>1</v>
      </c>
    </row>
    <row r="32" spans="2:5" ht="18.75" customHeight="1">
      <c r="B32" s="106">
        <f t="shared" si="0"/>
        <v>89</v>
      </c>
      <c r="C32" s="56">
        <f>+'Work Report Consultant'!K30</f>
        <v>26</v>
      </c>
      <c r="D32" s="129" t="str">
        <f>+'Work Report Consultant'!L30</f>
        <v>Day</v>
      </c>
      <c r="E32" s="55">
        <f>+'Work Report Consultant'!AC30</f>
        <v>1</v>
      </c>
    </row>
    <row r="33" spans="2:7" ht="18.75" customHeight="1">
      <c r="B33" s="106">
        <f t="shared" si="0"/>
        <v>90</v>
      </c>
      <c r="C33" s="56">
        <f>+'Work Report Consultant'!K31</f>
        <v>27</v>
      </c>
      <c r="D33" s="129" t="str">
        <f>+'Work Report Consultant'!L31</f>
        <v>Day</v>
      </c>
      <c r="E33" s="55">
        <f>+'Work Report Consultant'!AC31</f>
        <v>1</v>
      </c>
    </row>
    <row r="34" spans="2:7" ht="18.75" customHeight="1">
      <c r="B34" s="106">
        <f t="shared" si="0"/>
        <v>91</v>
      </c>
      <c r="C34" s="56">
        <f>+'Work Report Consultant'!K32</f>
        <v>28</v>
      </c>
      <c r="D34" s="129" t="str">
        <f>+'Work Report Consultant'!L32</f>
        <v>N/A</v>
      </c>
      <c r="E34" s="55" t="str">
        <f>+'Work Report Consultant'!AC32</f>
        <v>NA</v>
      </c>
    </row>
    <row r="35" spans="2:7" ht="18.75" customHeight="1">
      <c r="B35" s="106">
        <f t="shared" si="0"/>
        <v>92</v>
      </c>
      <c r="C35" s="56">
        <f>+'Work Report Consultant'!K33</f>
        <v>29</v>
      </c>
      <c r="D35" s="129" t="str">
        <f>+'Work Report Consultant'!L33</f>
        <v>N/A</v>
      </c>
      <c r="E35" s="55" t="str">
        <f>+'Work Report Consultant'!AC33</f>
        <v>NA</v>
      </c>
    </row>
    <row r="36" spans="2:7" ht="18.75" customHeight="1">
      <c r="B36" s="106">
        <f t="shared" si="0"/>
        <v>93</v>
      </c>
      <c r="C36" s="56">
        <f>+'Work Report Consultant'!K34</f>
        <v>30</v>
      </c>
      <c r="D36" s="129" t="str">
        <f>+'Work Report Consultant'!L34</f>
        <v>Day</v>
      </c>
      <c r="E36" s="55">
        <f>+'Work Report Consultant'!AC34</f>
        <v>1</v>
      </c>
    </row>
    <row r="37" spans="2:7" ht="18.75" customHeight="1">
      <c r="B37" s="106">
        <f t="shared" si="0"/>
        <v>94</v>
      </c>
      <c r="C37" s="56">
        <f>+'Work Report Consultant'!K35</f>
        <v>31</v>
      </c>
      <c r="D37" s="129" t="str">
        <f>+'Work Report Consultant'!L35</f>
        <v>Day</v>
      </c>
      <c r="E37" s="55">
        <f>+'Work Report Consultant'!AC35</f>
        <v>1</v>
      </c>
    </row>
    <row r="38" spans="2:7" ht="18.75" customHeight="1" thickBot="1"/>
    <row r="39" spans="2:7" ht="23.25" customHeight="1" thickBot="1">
      <c r="B39" s="71" t="s">
        <v>46</v>
      </c>
      <c r="C39" s="58"/>
      <c r="D39" s="57"/>
      <c r="E39" s="59">
        <f>SUM(E7:E37)</f>
        <v>16</v>
      </c>
      <c r="F39" s="73" t="s">
        <v>49</v>
      </c>
      <c r="G39" s="72"/>
    </row>
    <row r="42" spans="2:7">
      <c r="B42" s="110" t="s">
        <v>69</v>
      </c>
      <c r="C42" s="111"/>
      <c r="D42" s="112"/>
      <c r="E42" s="113"/>
      <c r="F42" s="112"/>
      <c r="G42" s="114"/>
    </row>
    <row r="43" spans="2:7">
      <c r="B43" s="123"/>
      <c r="G43" s="116"/>
    </row>
    <row r="44" spans="2:7">
      <c r="B44" s="117" t="s">
        <v>59</v>
      </c>
      <c r="D44" s="63" t="s">
        <v>64</v>
      </c>
      <c r="E44" s="107" t="s">
        <v>62</v>
      </c>
      <c r="F44" s="107" t="s">
        <v>83</v>
      </c>
      <c r="G44" s="137" t="s">
        <v>85</v>
      </c>
    </row>
    <row r="45" spans="2:7">
      <c r="B45" s="115" t="s">
        <v>60</v>
      </c>
      <c r="D45" s="54" t="s">
        <v>61</v>
      </c>
      <c r="E45" s="56" t="s">
        <v>63</v>
      </c>
      <c r="F45" s="56" t="s">
        <v>63</v>
      </c>
      <c r="G45" s="116"/>
    </row>
    <row r="46" spans="2:7">
      <c r="B46" s="115" t="s">
        <v>60</v>
      </c>
      <c r="D46" s="54" t="s">
        <v>61</v>
      </c>
      <c r="E46" s="56" t="s">
        <v>63</v>
      </c>
      <c r="F46" s="56" t="s">
        <v>63</v>
      </c>
      <c r="G46" s="116"/>
    </row>
    <row r="47" spans="2:7">
      <c r="B47" s="115" t="s">
        <v>60</v>
      </c>
      <c r="D47" s="54" t="s">
        <v>61</v>
      </c>
      <c r="E47" s="56" t="s">
        <v>63</v>
      </c>
      <c r="F47" s="56" t="s">
        <v>63</v>
      </c>
      <c r="G47" s="116"/>
    </row>
    <row r="48" spans="2:7">
      <c r="B48" s="115" t="s">
        <v>60</v>
      </c>
      <c r="D48" s="54" t="s">
        <v>61</v>
      </c>
      <c r="E48" s="56" t="s">
        <v>63</v>
      </c>
      <c r="F48" s="56" t="s">
        <v>63</v>
      </c>
      <c r="G48" s="116"/>
    </row>
    <row r="49" spans="2:7">
      <c r="B49" s="115" t="s">
        <v>60</v>
      </c>
      <c r="D49" s="54" t="s">
        <v>61</v>
      </c>
      <c r="E49" s="56" t="s">
        <v>63</v>
      </c>
      <c r="F49" s="56" t="s">
        <v>63</v>
      </c>
      <c r="G49" s="116"/>
    </row>
    <row r="50" spans="2:7">
      <c r="B50" s="115" t="s">
        <v>60</v>
      </c>
      <c r="D50" s="54" t="s">
        <v>61</v>
      </c>
      <c r="E50" s="56" t="s">
        <v>63</v>
      </c>
      <c r="F50" s="56" t="s">
        <v>63</v>
      </c>
      <c r="G50" s="116"/>
    </row>
    <row r="51" spans="2:7">
      <c r="B51" s="115" t="s">
        <v>60</v>
      </c>
      <c r="D51" s="54" t="s">
        <v>61</v>
      </c>
      <c r="E51" s="56" t="s">
        <v>63</v>
      </c>
      <c r="F51" s="56" t="s">
        <v>63</v>
      </c>
      <c r="G51" s="116"/>
    </row>
    <row r="52" spans="2:7">
      <c r="B52" s="115"/>
      <c r="G52" s="116"/>
    </row>
    <row r="53" spans="2:7">
      <c r="B53" s="122" t="s">
        <v>68</v>
      </c>
      <c r="G53" s="116"/>
    </row>
    <row r="54" spans="2:7">
      <c r="B54" s="121" t="s">
        <v>65</v>
      </c>
      <c r="G54" s="116"/>
    </row>
    <row r="55" spans="2:7">
      <c r="B55" s="121" t="s">
        <v>66</v>
      </c>
      <c r="G55" s="116"/>
    </row>
    <row r="56" spans="2:7">
      <c r="B56" s="120"/>
      <c r="C56" s="109"/>
      <c r="D56" s="62"/>
      <c r="E56" s="118"/>
      <c r="F56" s="62"/>
      <c r="G56" s="119"/>
    </row>
    <row r="57" spans="2:7" ht="37.5" customHeight="1">
      <c r="B57" s="63" t="s">
        <v>47</v>
      </c>
      <c r="E57" s="56"/>
      <c r="F57" s="62"/>
      <c r="G57" s="62"/>
    </row>
    <row r="58" spans="2:7">
      <c r="E58" s="56"/>
    </row>
    <row r="59" spans="2:7" ht="30.75" customHeight="1">
      <c r="B59" s="54" t="s">
        <v>56</v>
      </c>
      <c r="E59" s="56"/>
      <c r="F59" s="54" t="s">
        <v>57</v>
      </c>
    </row>
    <row r="60" spans="2:7" ht="36" customHeight="1">
      <c r="B60" s="64" t="s">
        <v>58</v>
      </c>
      <c r="E60" s="56"/>
      <c r="F60" s="62"/>
      <c r="G60" s="62"/>
    </row>
  </sheetData>
  <pageMargins left="0.70866141732283472" right="0.31496062992125984" top="0.74803149606299213" bottom="0.35433070866141736" header="0.31496062992125984" footer="0.31496062992125984"/>
  <pageSetup paperSize="9" scale="7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B2:G60"/>
  <sheetViews>
    <sheetView showGridLines="0" showRowColHeaders="0" topLeftCell="A9" zoomScale="85" zoomScaleNormal="85" workbookViewId="0">
      <selection activeCell="G3" sqref="G3"/>
    </sheetView>
  </sheetViews>
  <sheetFormatPr defaultColWidth="8.88671875" defaultRowHeight="15"/>
  <cols>
    <col min="1" max="1" width="8.88671875" style="54"/>
    <col min="2" max="2" width="11.5546875" style="54" customWidth="1"/>
    <col min="3" max="3" width="6.21875" style="56" customWidth="1"/>
    <col min="4" max="4" width="16.6640625" style="54" bestFit="1" customWidth="1"/>
    <col min="5" max="5" width="14.77734375" style="55" customWidth="1"/>
    <col min="6" max="6" width="10.77734375" style="54" customWidth="1"/>
    <col min="7" max="7" width="36.77734375" style="54" customWidth="1"/>
    <col min="8" max="16384" width="8.88671875" style="54"/>
  </cols>
  <sheetData>
    <row r="2" spans="2:7" ht="26.25" customHeight="1">
      <c r="B2" s="65" t="str">
        <f>+'Work Report Consultant'!B2</f>
        <v>Consultant work report 2026</v>
      </c>
      <c r="C2" s="66"/>
      <c r="D2" s="67"/>
      <c r="E2" s="68"/>
      <c r="G2" s="132" t="s">
        <v>91</v>
      </c>
    </row>
    <row r="3" spans="2:7" ht="27.75" customHeight="1">
      <c r="B3" s="69" t="str">
        <f>+'Work Report Consultant'!B3</f>
        <v>Name:</v>
      </c>
      <c r="C3" s="70" t="str">
        <f>+'Work Report Consultant'!E3</f>
        <v>Jorge Benito Sanabrias</v>
      </c>
      <c r="D3" s="67"/>
      <c r="E3" s="68"/>
      <c r="F3" s="67"/>
    </row>
    <row r="4" spans="2:7" ht="24.75" customHeight="1">
      <c r="B4" s="69">
        <f>+'Work Report Consultant'!P3</f>
        <v>0</v>
      </c>
      <c r="C4" s="70" t="str">
        <f>+'Work Report Consultant'!R3</f>
        <v>Anzen Engineering Switzerland</v>
      </c>
      <c r="D4" s="67"/>
      <c r="E4" s="68"/>
      <c r="F4" s="67"/>
    </row>
    <row r="5" spans="2:7" ht="15.75" thickBot="1"/>
    <row r="6" spans="2:7" ht="21.75" customHeight="1" thickBot="1">
      <c r="B6" s="71" t="str">
        <f>+'Work Report Consultant'!N4</f>
        <v>APRIL</v>
      </c>
      <c r="C6" s="59">
        <f>+'Work Report Consultant'!AV3</f>
        <v>2026</v>
      </c>
      <c r="D6" s="73"/>
      <c r="E6" s="59"/>
      <c r="F6" s="59" t="s">
        <v>48</v>
      </c>
      <c r="G6" s="74"/>
    </row>
    <row r="7" spans="2:7" ht="18.75" customHeight="1">
      <c r="B7" s="106">
        <f>+'Print March Summary'!B37+1</f>
        <v>95</v>
      </c>
      <c r="C7" s="56">
        <f>+'Work Report Consultant'!O5</f>
        <v>1</v>
      </c>
      <c r="D7" s="54" t="str">
        <f>+'Work Report Consultant'!P5</f>
        <v>Day</v>
      </c>
      <c r="E7" s="55">
        <f>+'Work Report Consultant'!AD5</f>
        <v>1</v>
      </c>
    </row>
    <row r="8" spans="2:7" ht="18.75" customHeight="1">
      <c r="B8" s="106">
        <f>+B7+1</f>
        <v>96</v>
      </c>
      <c r="C8" s="56">
        <f>+'Work Report Consultant'!O6</f>
        <v>2</v>
      </c>
      <c r="D8" s="54" t="str">
        <f>+'Work Report Consultant'!P6</f>
        <v>Day</v>
      </c>
      <c r="E8" s="55">
        <f>+'Work Report Consultant'!AD6</f>
        <v>1</v>
      </c>
    </row>
    <row r="9" spans="2:7" ht="18.75" customHeight="1">
      <c r="B9" s="106">
        <f t="shared" ref="B9:B36" si="0">+B8+1</f>
        <v>97</v>
      </c>
      <c r="C9" s="56">
        <f>+'Work Report Consultant'!O7</f>
        <v>3</v>
      </c>
      <c r="D9" s="54" t="str">
        <f>+'Work Report Consultant'!P7</f>
        <v>Karfreitag</v>
      </c>
      <c r="E9" s="55" t="str">
        <f>+'Work Report Consultant'!AD7</f>
        <v>NA</v>
      </c>
    </row>
    <row r="10" spans="2:7" ht="18.75" customHeight="1">
      <c r="B10" s="106">
        <f t="shared" si="0"/>
        <v>98</v>
      </c>
      <c r="C10" s="56">
        <f>+'Work Report Consultant'!O8</f>
        <v>4</v>
      </c>
      <c r="D10" s="54" t="str">
        <f>+'Work Report Consultant'!P8</f>
        <v>N/A</v>
      </c>
      <c r="E10" s="55" t="str">
        <f>+'Work Report Consultant'!AD8</f>
        <v>NA</v>
      </c>
    </row>
    <row r="11" spans="2:7" ht="18.75" customHeight="1">
      <c r="B11" s="106">
        <f t="shared" si="0"/>
        <v>99</v>
      </c>
      <c r="C11" s="56">
        <f>+'Work Report Consultant'!O9</f>
        <v>5</v>
      </c>
      <c r="D11" s="54" t="str">
        <f>+'Work Report Consultant'!P9</f>
        <v>Ostern</v>
      </c>
      <c r="E11" s="55" t="str">
        <f>+'Work Report Consultant'!AD9</f>
        <v>NA</v>
      </c>
    </row>
    <row r="12" spans="2:7" ht="18.75" customHeight="1">
      <c r="B12" s="106">
        <f t="shared" si="0"/>
        <v>100</v>
      </c>
      <c r="C12" s="56">
        <f>+'Work Report Consultant'!O10</f>
        <v>6</v>
      </c>
      <c r="D12" s="54" t="str">
        <f>+'Work Report Consultant'!P10</f>
        <v>Ostermontag</v>
      </c>
      <c r="E12" s="55" t="str">
        <f>+'Work Report Consultant'!AD10</f>
        <v>NA</v>
      </c>
    </row>
    <row r="13" spans="2:7" ht="18.75" customHeight="1">
      <c r="B13" s="106">
        <f t="shared" si="0"/>
        <v>101</v>
      </c>
      <c r="C13" s="56">
        <f>+'Work Report Consultant'!O11</f>
        <v>7</v>
      </c>
      <c r="D13" s="54" t="str">
        <f>+'Work Report Consultant'!P11</f>
        <v>Day</v>
      </c>
      <c r="E13" s="55">
        <f>+'Work Report Consultant'!AD11</f>
        <v>1</v>
      </c>
    </row>
    <row r="14" spans="2:7" ht="18.75" customHeight="1">
      <c r="B14" s="106">
        <f t="shared" si="0"/>
        <v>102</v>
      </c>
      <c r="C14" s="56">
        <f>+'Work Report Consultant'!O12</f>
        <v>8</v>
      </c>
      <c r="D14" s="54" t="str">
        <f>+'Work Report Consultant'!P12</f>
        <v>Day</v>
      </c>
      <c r="E14" s="55">
        <f>+'Work Report Consultant'!AD12</f>
        <v>1</v>
      </c>
    </row>
    <row r="15" spans="2:7" ht="18.75" customHeight="1">
      <c r="B15" s="106">
        <f t="shared" si="0"/>
        <v>103</v>
      </c>
      <c r="C15" s="56">
        <f>+'Work Report Consultant'!O13</f>
        <v>9</v>
      </c>
      <c r="D15" s="54" t="str">
        <f>+'Work Report Consultant'!P13</f>
        <v>Day</v>
      </c>
      <c r="E15" s="55">
        <f>+'Work Report Consultant'!AD13</f>
        <v>1</v>
      </c>
    </row>
    <row r="16" spans="2:7" ht="18.75" customHeight="1">
      <c r="B16" s="106">
        <f t="shared" si="0"/>
        <v>104</v>
      </c>
      <c r="C16" s="56">
        <f>+'Work Report Consultant'!O14</f>
        <v>10</v>
      </c>
      <c r="D16" s="54" t="str">
        <f>+'Work Report Consultant'!P14</f>
        <v>Day</v>
      </c>
      <c r="E16" s="55">
        <f>+'Work Report Consultant'!AD14</f>
        <v>1</v>
      </c>
    </row>
    <row r="17" spans="2:5" ht="18.75" customHeight="1">
      <c r="B17" s="106">
        <f t="shared" si="0"/>
        <v>105</v>
      </c>
      <c r="C17" s="56">
        <f>+'Work Report Consultant'!O15</f>
        <v>11</v>
      </c>
      <c r="D17" s="54" t="str">
        <f>+'Work Report Consultant'!P15</f>
        <v>N/A</v>
      </c>
      <c r="E17" s="55" t="str">
        <f>+'Work Report Consultant'!AD15</f>
        <v>NA</v>
      </c>
    </row>
    <row r="18" spans="2:5" ht="18.75" customHeight="1">
      <c r="B18" s="106">
        <f t="shared" si="0"/>
        <v>106</v>
      </c>
      <c r="C18" s="56">
        <f>+'Work Report Consultant'!O16</f>
        <v>12</v>
      </c>
      <c r="D18" s="54" t="str">
        <f>+'Work Report Consultant'!P16</f>
        <v>N/A</v>
      </c>
      <c r="E18" s="55" t="str">
        <f>+'Work Report Consultant'!AD16</f>
        <v>NA</v>
      </c>
    </row>
    <row r="19" spans="2:5" ht="18.75" customHeight="1">
      <c r="B19" s="106">
        <f t="shared" si="0"/>
        <v>107</v>
      </c>
      <c r="C19" s="56">
        <f>+'Work Report Consultant'!O17</f>
        <v>13</v>
      </c>
      <c r="D19" s="54" t="str">
        <f>+'Work Report Consultant'!P17</f>
        <v>Day</v>
      </c>
      <c r="E19" s="55">
        <f>+'Work Report Consultant'!AD17</f>
        <v>1</v>
      </c>
    </row>
    <row r="20" spans="2:5" ht="18.75" customHeight="1">
      <c r="B20" s="106">
        <f t="shared" si="0"/>
        <v>108</v>
      </c>
      <c r="C20" s="56">
        <f>+'Work Report Consultant'!O18</f>
        <v>14</v>
      </c>
      <c r="D20" s="54" t="str">
        <f>+'Work Report Consultant'!P18</f>
        <v>Day</v>
      </c>
      <c r="E20" s="55">
        <f>+'Work Report Consultant'!AD18</f>
        <v>1</v>
      </c>
    </row>
    <row r="21" spans="2:5" ht="18.75" customHeight="1">
      <c r="B21" s="106">
        <f t="shared" si="0"/>
        <v>109</v>
      </c>
      <c r="C21" s="56">
        <f>+'Work Report Consultant'!O19</f>
        <v>15</v>
      </c>
      <c r="D21" s="54" t="str">
        <f>+'Work Report Consultant'!P19</f>
        <v>Day</v>
      </c>
      <c r="E21" s="55">
        <f>+'Work Report Consultant'!AD19</f>
        <v>1</v>
      </c>
    </row>
    <row r="22" spans="2:5" ht="18.75" customHeight="1">
      <c r="B22" s="106">
        <f t="shared" si="0"/>
        <v>110</v>
      </c>
      <c r="C22" s="56">
        <f>+'Work Report Consultant'!O20</f>
        <v>16</v>
      </c>
      <c r="D22" s="54" t="str">
        <f>+'Work Report Consultant'!P20</f>
        <v>Day</v>
      </c>
      <c r="E22" s="55">
        <f>+'Work Report Consultant'!AD20</f>
        <v>1</v>
      </c>
    </row>
    <row r="23" spans="2:5" ht="18.75" customHeight="1">
      <c r="B23" s="106">
        <f t="shared" si="0"/>
        <v>111</v>
      </c>
      <c r="C23" s="56">
        <f>+'Work Report Consultant'!O21</f>
        <v>17</v>
      </c>
      <c r="D23" s="54" t="str">
        <f>+'Work Report Consultant'!P21</f>
        <v>Day</v>
      </c>
      <c r="E23" s="55">
        <f>+'Work Report Consultant'!AD21</f>
        <v>1</v>
      </c>
    </row>
    <row r="24" spans="2:5" ht="18.75" customHeight="1">
      <c r="B24" s="106">
        <f t="shared" si="0"/>
        <v>112</v>
      </c>
      <c r="C24" s="56">
        <f>+'Work Report Consultant'!O22</f>
        <v>18</v>
      </c>
      <c r="D24" s="54" t="str">
        <f>+'Work Report Consultant'!P22</f>
        <v>N/A</v>
      </c>
      <c r="E24" s="55" t="str">
        <f>+'Work Report Consultant'!AD22</f>
        <v>NA</v>
      </c>
    </row>
    <row r="25" spans="2:5" ht="18.75" customHeight="1">
      <c r="B25" s="106">
        <f t="shared" si="0"/>
        <v>113</v>
      </c>
      <c r="C25" s="56">
        <f>+'Work Report Consultant'!O23</f>
        <v>19</v>
      </c>
      <c r="D25" s="54" t="str">
        <f>+'Work Report Consultant'!P23</f>
        <v>N/A</v>
      </c>
      <c r="E25" s="55" t="str">
        <f>+'Work Report Consultant'!AD23</f>
        <v>NA</v>
      </c>
    </row>
    <row r="26" spans="2:5" ht="18.75" customHeight="1">
      <c r="B26" s="106">
        <f t="shared" si="0"/>
        <v>114</v>
      </c>
      <c r="C26" s="56">
        <f>+'Work Report Consultant'!O24</f>
        <v>20</v>
      </c>
      <c r="D26" s="54" t="str">
        <f>+'Work Report Consultant'!P24</f>
        <v>Day</v>
      </c>
      <c r="E26" s="55">
        <f>+'Work Report Consultant'!AD24</f>
        <v>1</v>
      </c>
    </row>
    <row r="27" spans="2:5" ht="18.75" customHeight="1">
      <c r="B27" s="106">
        <f t="shared" si="0"/>
        <v>115</v>
      </c>
      <c r="C27" s="56">
        <f>+'Work Report Consultant'!O25</f>
        <v>21</v>
      </c>
      <c r="D27" s="54" t="str">
        <f>+'Work Report Consultant'!P25</f>
        <v>Day</v>
      </c>
      <c r="E27" s="55">
        <f>+'Work Report Consultant'!AD25</f>
        <v>1</v>
      </c>
    </row>
    <row r="28" spans="2:5" ht="18.75" customHeight="1">
      <c r="B28" s="106">
        <f t="shared" si="0"/>
        <v>116</v>
      </c>
      <c r="C28" s="56">
        <f>+'Work Report Consultant'!O26</f>
        <v>22</v>
      </c>
      <c r="D28" s="54" t="str">
        <f>+'Work Report Consultant'!P26</f>
        <v>Day</v>
      </c>
      <c r="E28" s="55">
        <f>+'Work Report Consultant'!AD26</f>
        <v>1</v>
      </c>
    </row>
    <row r="29" spans="2:5" ht="18.75" customHeight="1">
      <c r="B29" s="106">
        <f t="shared" si="0"/>
        <v>117</v>
      </c>
      <c r="C29" s="56">
        <f>+'Work Report Consultant'!O27</f>
        <v>23</v>
      </c>
      <c r="D29" s="54" t="str">
        <f>+'Work Report Consultant'!P27</f>
        <v>Day</v>
      </c>
      <c r="E29" s="55">
        <f>+'Work Report Consultant'!AD27</f>
        <v>1</v>
      </c>
    </row>
    <row r="30" spans="2:5" ht="18.75" customHeight="1">
      <c r="B30" s="106">
        <f t="shared" si="0"/>
        <v>118</v>
      </c>
      <c r="C30" s="56">
        <f>+'Work Report Consultant'!O28</f>
        <v>24</v>
      </c>
      <c r="D30" s="54" t="str">
        <f>+'Work Report Consultant'!P28</f>
        <v>Day</v>
      </c>
      <c r="E30" s="55">
        <f>+'Work Report Consultant'!AD28</f>
        <v>1</v>
      </c>
    </row>
    <row r="31" spans="2:5" ht="18.75" customHeight="1">
      <c r="B31" s="106">
        <f t="shared" si="0"/>
        <v>119</v>
      </c>
      <c r="C31" s="56">
        <f>+'Work Report Consultant'!O29</f>
        <v>25</v>
      </c>
      <c r="D31" s="54" t="str">
        <f>+'Work Report Consultant'!P29</f>
        <v>N/A</v>
      </c>
      <c r="E31" s="55" t="str">
        <f>+'Work Report Consultant'!AD29</f>
        <v>NA</v>
      </c>
    </row>
    <row r="32" spans="2:5" ht="18.75" customHeight="1">
      <c r="B32" s="106">
        <f t="shared" si="0"/>
        <v>120</v>
      </c>
      <c r="C32" s="56">
        <f>+'Work Report Consultant'!O30</f>
        <v>26</v>
      </c>
      <c r="D32" s="54" t="str">
        <f>+'Work Report Consultant'!P30</f>
        <v>N/A</v>
      </c>
      <c r="E32" s="55" t="str">
        <f>+'Work Report Consultant'!AD30</f>
        <v>NA</v>
      </c>
    </row>
    <row r="33" spans="2:7" ht="18.75" customHeight="1">
      <c r="B33" s="106">
        <f t="shared" si="0"/>
        <v>121</v>
      </c>
      <c r="C33" s="56">
        <f>+'Work Report Consultant'!O31</f>
        <v>27</v>
      </c>
      <c r="D33" s="54" t="str">
        <f>+'Work Report Consultant'!P31</f>
        <v>Day</v>
      </c>
      <c r="E33" s="55">
        <f>+'Work Report Consultant'!AD31</f>
        <v>1</v>
      </c>
    </row>
    <row r="34" spans="2:7" ht="18.75" customHeight="1">
      <c r="B34" s="106">
        <f t="shared" si="0"/>
        <v>122</v>
      </c>
      <c r="C34" s="56">
        <f>+'Work Report Consultant'!O32</f>
        <v>28</v>
      </c>
      <c r="D34" s="54" t="str">
        <f>+'Work Report Consultant'!P32</f>
        <v>Day</v>
      </c>
      <c r="E34" s="55">
        <f>+'Work Report Consultant'!AD32</f>
        <v>1</v>
      </c>
    </row>
    <row r="35" spans="2:7" ht="18.75" customHeight="1">
      <c r="B35" s="106">
        <f t="shared" si="0"/>
        <v>123</v>
      </c>
      <c r="C35" s="56">
        <f>+'Work Report Consultant'!O33</f>
        <v>29</v>
      </c>
      <c r="D35" s="54" t="str">
        <f>+'Work Report Consultant'!P33</f>
        <v>Day</v>
      </c>
      <c r="E35" s="55">
        <f>+'Work Report Consultant'!AD33</f>
        <v>1</v>
      </c>
    </row>
    <row r="36" spans="2:7" ht="18.75" customHeight="1">
      <c r="B36" s="106">
        <f t="shared" si="0"/>
        <v>124</v>
      </c>
      <c r="C36" s="56">
        <f>+'Work Report Consultant'!O34</f>
        <v>30</v>
      </c>
      <c r="D36" s="54" t="str">
        <f>+'Work Report Consultant'!P34</f>
        <v>Day</v>
      </c>
      <c r="E36" s="55">
        <f>+'Work Report Consultant'!AD34</f>
        <v>1</v>
      </c>
    </row>
    <row r="37" spans="2:7" ht="18.75" customHeight="1"/>
    <row r="38" spans="2:7" ht="18.75" customHeight="1" thickBot="1"/>
    <row r="39" spans="2:7" ht="23.25" customHeight="1" thickBot="1">
      <c r="B39" s="71" t="s">
        <v>46</v>
      </c>
      <c r="C39" s="58"/>
      <c r="D39" s="57"/>
      <c r="E39" s="59">
        <f>SUM(E7:E37)</f>
        <v>20</v>
      </c>
      <c r="F39" s="73" t="s">
        <v>49</v>
      </c>
      <c r="G39" s="72"/>
    </row>
    <row r="42" spans="2:7">
      <c r="B42" s="110" t="s">
        <v>69</v>
      </c>
      <c r="C42" s="111"/>
      <c r="D42" s="112"/>
      <c r="E42" s="113"/>
      <c r="F42" s="112"/>
      <c r="G42" s="114"/>
    </row>
    <row r="43" spans="2:7">
      <c r="B43" s="123"/>
      <c r="G43" s="116"/>
    </row>
    <row r="44" spans="2:7">
      <c r="B44" s="117" t="s">
        <v>59</v>
      </c>
      <c r="D44" s="133" t="s">
        <v>64</v>
      </c>
      <c r="E44" s="107" t="s">
        <v>62</v>
      </c>
      <c r="F44" s="135" t="s">
        <v>83</v>
      </c>
      <c r="G44" s="137" t="s">
        <v>85</v>
      </c>
    </row>
    <row r="45" spans="2:7">
      <c r="B45" s="115" t="s">
        <v>60</v>
      </c>
      <c r="D45" s="134" t="s">
        <v>61</v>
      </c>
      <c r="E45" s="56" t="s">
        <v>63</v>
      </c>
      <c r="F45" s="136" t="s">
        <v>63</v>
      </c>
      <c r="G45" s="116"/>
    </row>
    <row r="46" spans="2:7">
      <c r="B46" s="115" t="s">
        <v>60</v>
      </c>
      <c r="D46" s="134" t="s">
        <v>61</v>
      </c>
      <c r="E46" s="56" t="s">
        <v>63</v>
      </c>
      <c r="F46" s="136" t="s">
        <v>63</v>
      </c>
      <c r="G46" s="116"/>
    </row>
    <row r="47" spans="2:7">
      <c r="B47" s="115" t="s">
        <v>60</v>
      </c>
      <c r="D47" s="134" t="s">
        <v>61</v>
      </c>
      <c r="E47" s="56" t="s">
        <v>63</v>
      </c>
      <c r="F47" s="136" t="s">
        <v>63</v>
      </c>
      <c r="G47" s="116"/>
    </row>
    <row r="48" spans="2:7">
      <c r="B48" s="115" t="s">
        <v>60</v>
      </c>
      <c r="D48" s="134" t="s">
        <v>61</v>
      </c>
      <c r="E48" s="56" t="s">
        <v>63</v>
      </c>
      <c r="F48" s="136" t="s">
        <v>63</v>
      </c>
      <c r="G48" s="116"/>
    </row>
    <row r="49" spans="2:7">
      <c r="B49" s="115" t="s">
        <v>60</v>
      </c>
      <c r="D49" s="134" t="s">
        <v>61</v>
      </c>
      <c r="E49" s="56" t="s">
        <v>63</v>
      </c>
      <c r="F49" s="136" t="s">
        <v>63</v>
      </c>
      <c r="G49" s="116"/>
    </row>
    <row r="50" spans="2:7">
      <c r="B50" s="115" t="s">
        <v>60</v>
      </c>
      <c r="D50" s="134" t="s">
        <v>61</v>
      </c>
      <c r="E50" s="56" t="s">
        <v>63</v>
      </c>
      <c r="F50" s="136" t="s">
        <v>63</v>
      </c>
      <c r="G50" s="116"/>
    </row>
    <row r="51" spans="2:7">
      <c r="B51" s="115" t="s">
        <v>60</v>
      </c>
      <c r="D51" s="134" t="s">
        <v>61</v>
      </c>
      <c r="E51" s="56" t="s">
        <v>63</v>
      </c>
      <c r="F51" s="136" t="s">
        <v>63</v>
      </c>
      <c r="G51" s="116"/>
    </row>
    <row r="52" spans="2:7">
      <c r="B52" s="115"/>
      <c r="G52" s="116"/>
    </row>
    <row r="53" spans="2:7">
      <c r="B53" s="122" t="s">
        <v>68</v>
      </c>
      <c r="G53" s="116"/>
    </row>
    <row r="54" spans="2:7">
      <c r="B54" s="121" t="s">
        <v>65</v>
      </c>
      <c r="G54" s="116"/>
    </row>
    <row r="55" spans="2:7">
      <c r="B55" s="121" t="s">
        <v>66</v>
      </c>
      <c r="G55" s="116"/>
    </row>
    <row r="56" spans="2:7">
      <c r="B56" s="120"/>
      <c r="C56" s="109"/>
      <c r="D56" s="62"/>
      <c r="E56" s="118"/>
      <c r="F56" s="62"/>
      <c r="G56" s="119"/>
    </row>
    <row r="57" spans="2:7" ht="37.5" customHeight="1">
      <c r="B57" s="63" t="s">
        <v>47</v>
      </c>
      <c r="E57" s="56"/>
      <c r="F57" s="62"/>
      <c r="G57" s="62"/>
    </row>
    <row r="58" spans="2:7">
      <c r="E58" s="56"/>
    </row>
    <row r="59" spans="2:7" ht="30.75" customHeight="1">
      <c r="B59" s="54" t="s">
        <v>56</v>
      </c>
      <c r="E59" s="56"/>
      <c r="F59" s="54" t="s">
        <v>57</v>
      </c>
    </row>
    <row r="60" spans="2:7" ht="36" customHeight="1">
      <c r="B60" s="64" t="s">
        <v>58</v>
      </c>
      <c r="E60" s="56"/>
      <c r="F60" s="62"/>
      <c r="G60" s="62"/>
    </row>
  </sheetData>
  <pageMargins left="0.70866141732283472" right="0.31496062992125984" top="0.74803149606299213" bottom="0.35433070866141736" header="0.31496062992125984" footer="0.31496062992125984"/>
  <pageSetup paperSize="9"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B2:G60"/>
  <sheetViews>
    <sheetView showGridLines="0" showRowColHeaders="0" tabSelected="1" topLeftCell="B9" zoomScale="115" zoomScaleNormal="115" workbookViewId="0">
      <selection activeCell="G13" sqref="G13"/>
    </sheetView>
  </sheetViews>
  <sheetFormatPr defaultColWidth="8.88671875" defaultRowHeight="15"/>
  <cols>
    <col min="1" max="1" width="8.88671875" style="54"/>
    <col min="2" max="2" width="11.5546875" style="54" customWidth="1"/>
    <col min="3" max="3" width="6.21875" style="56" customWidth="1"/>
    <col min="4" max="4" width="16.6640625" style="54" bestFit="1" customWidth="1"/>
    <col min="5" max="5" width="14.77734375" style="55" customWidth="1"/>
    <col min="6" max="6" width="10.77734375" style="54" customWidth="1"/>
    <col min="7" max="7" width="36.77734375" style="54" customWidth="1"/>
    <col min="8" max="16384" width="8.88671875" style="54"/>
  </cols>
  <sheetData>
    <row r="2" spans="2:7" ht="26.25" customHeight="1">
      <c r="B2" s="65" t="str">
        <f>+'Work Report Consultant'!B2</f>
        <v>Consultant work report 2026</v>
      </c>
      <c r="C2" s="66"/>
      <c r="D2" s="67"/>
      <c r="E2" s="68"/>
      <c r="G2" s="132" t="s">
        <v>91</v>
      </c>
    </row>
    <row r="3" spans="2:7" ht="27.75" customHeight="1">
      <c r="B3" s="69" t="str">
        <f>+'Work Report Consultant'!B3</f>
        <v>Name:</v>
      </c>
      <c r="C3" s="70" t="str">
        <f>+'Work Report Consultant'!E3</f>
        <v>Jorge Benito Sanabrias</v>
      </c>
      <c r="D3" s="67"/>
      <c r="E3" s="68"/>
      <c r="F3" s="67"/>
    </row>
    <row r="4" spans="2:7" ht="24.75" customHeight="1">
      <c r="B4" s="69">
        <f>+'Work Report Consultant'!P3</f>
        <v>0</v>
      </c>
      <c r="C4" s="70" t="str">
        <f>+'Work Report Consultant'!R3</f>
        <v>Anzen Engineering Switzerland</v>
      </c>
      <c r="D4" s="67"/>
      <c r="E4" s="68"/>
      <c r="F4" s="67"/>
    </row>
    <row r="5" spans="2:7" ht="15.75" thickBot="1"/>
    <row r="6" spans="2:7" ht="21.75" customHeight="1" thickBot="1">
      <c r="B6" s="71" t="str">
        <f>+'Work Report Consultant'!R4</f>
        <v>MAY</v>
      </c>
      <c r="C6" s="59">
        <f>+'Work Report Consultant'!AV3</f>
        <v>2026</v>
      </c>
      <c r="D6" s="73"/>
      <c r="E6" s="59"/>
      <c r="F6" s="59" t="s">
        <v>48</v>
      </c>
      <c r="G6" s="74"/>
    </row>
    <row r="7" spans="2:7" ht="18.75" customHeight="1">
      <c r="B7" s="106">
        <f>+'Print April Summary'!B36+1</f>
        <v>125</v>
      </c>
      <c r="C7" s="56">
        <f>+'Work Report Consultant'!S5</f>
        <v>1</v>
      </c>
      <c r="D7" s="54" t="str">
        <f>+'Work Report Consultant'!T5</f>
        <v>Day</v>
      </c>
      <c r="E7" s="55">
        <f>+'Work Report Consultant'!AE5</f>
        <v>1</v>
      </c>
    </row>
    <row r="8" spans="2:7" ht="18.75" customHeight="1">
      <c r="B8" s="106">
        <f>+B7+1</f>
        <v>126</v>
      </c>
      <c r="C8" s="56">
        <f>+'Work Report Consultant'!S6</f>
        <v>2</v>
      </c>
      <c r="D8" s="54" t="str">
        <f>+'Work Report Consultant'!T6</f>
        <v>N/A</v>
      </c>
      <c r="E8" s="55" t="str">
        <f>+'Work Report Consultant'!AE6</f>
        <v>NA</v>
      </c>
    </row>
    <row r="9" spans="2:7" ht="18.75" customHeight="1">
      <c r="B9" s="106">
        <f t="shared" ref="B9:B37" si="0">+B8+1</f>
        <v>127</v>
      </c>
      <c r="C9" s="56">
        <f>+'Work Report Consultant'!S7</f>
        <v>3</v>
      </c>
      <c r="D9" s="54" t="str">
        <f>+'Work Report Consultant'!T7</f>
        <v>N/A</v>
      </c>
      <c r="E9" s="55" t="str">
        <f>+'Work Report Consultant'!AE7</f>
        <v>NA</v>
      </c>
    </row>
    <row r="10" spans="2:7" ht="18.75" customHeight="1">
      <c r="B10" s="106">
        <f t="shared" si="0"/>
        <v>128</v>
      </c>
      <c r="C10" s="56">
        <f>+'Work Report Consultant'!S8</f>
        <v>4</v>
      </c>
      <c r="D10" s="54" t="str">
        <f>+'Work Report Consultant'!T8</f>
        <v>Day</v>
      </c>
      <c r="E10" s="55">
        <f>+'Work Report Consultant'!AE8</f>
        <v>1</v>
      </c>
    </row>
    <row r="11" spans="2:7" ht="18.75" customHeight="1">
      <c r="B11" s="106">
        <f t="shared" si="0"/>
        <v>129</v>
      </c>
      <c r="C11" s="56">
        <f>+'Work Report Consultant'!S9</f>
        <v>5</v>
      </c>
      <c r="D11" s="54" t="str">
        <f>+'Work Report Consultant'!T9</f>
        <v>Day</v>
      </c>
      <c r="E11" s="55">
        <f>+'Work Report Consultant'!AE9</f>
        <v>1</v>
      </c>
    </row>
    <row r="12" spans="2:7" ht="18.75" customHeight="1">
      <c r="B12" s="106">
        <f t="shared" si="0"/>
        <v>130</v>
      </c>
      <c r="C12" s="56">
        <f>+'Work Report Consultant'!S10</f>
        <v>6</v>
      </c>
      <c r="D12" s="54" t="str">
        <f>+'Work Report Consultant'!T10</f>
        <v>Day</v>
      </c>
      <c r="E12" s="55">
        <f>+'Work Report Consultant'!AE10</f>
        <v>1</v>
      </c>
      <c r="F12" s="218" t="s">
        <v>96</v>
      </c>
    </row>
    <row r="13" spans="2:7" ht="18.75" customHeight="1">
      <c r="B13" s="106">
        <f t="shared" si="0"/>
        <v>131</v>
      </c>
      <c r="C13" s="56">
        <f>+'Work Report Consultant'!S11</f>
        <v>7</v>
      </c>
      <c r="D13" s="54" t="str">
        <f>+'Work Report Consultant'!T11</f>
        <v>Day</v>
      </c>
      <c r="E13" s="55">
        <f>+'Work Report Consultant'!AE11</f>
        <v>1</v>
      </c>
    </row>
    <row r="14" spans="2:7" ht="18.75" customHeight="1">
      <c r="B14" s="106">
        <f t="shared" si="0"/>
        <v>132</v>
      </c>
      <c r="C14" s="56">
        <f>+'Work Report Consultant'!S12</f>
        <v>8</v>
      </c>
      <c r="D14" s="54" t="str">
        <f>+'Work Report Consultant'!T12</f>
        <v>Day</v>
      </c>
      <c r="E14" s="55">
        <f>+'Work Report Consultant'!AE12</f>
        <v>1</v>
      </c>
    </row>
    <row r="15" spans="2:7" ht="18.75" customHeight="1">
      <c r="B15" s="106">
        <f t="shared" si="0"/>
        <v>133</v>
      </c>
      <c r="C15" s="56">
        <f>+'Work Report Consultant'!S13</f>
        <v>9</v>
      </c>
      <c r="D15" s="54" t="str">
        <f>+'Work Report Consultant'!T13</f>
        <v>N/A</v>
      </c>
      <c r="E15" s="55" t="str">
        <f>+'Work Report Consultant'!AE13</f>
        <v>NA</v>
      </c>
    </row>
    <row r="16" spans="2:7" ht="18.75" customHeight="1">
      <c r="B16" s="106">
        <f t="shared" si="0"/>
        <v>134</v>
      </c>
      <c r="C16" s="56">
        <f>+'Work Report Consultant'!S14</f>
        <v>10</v>
      </c>
      <c r="D16" s="54" t="str">
        <f>+'Work Report Consultant'!T14</f>
        <v>N/A</v>
      </c>
      <c r="E16" s="55" t="str">
        <f>+'Work Report Consultant'!AE14</f>
        <v>NA</v>
      </c>
    </row>
    <row r="17" spans="2:5" ht="18.75" customHeight="1">
      <c r="B17" s="106">
        <f t="shared" si="0"/>
        <v>135</v>
      </c>
      <c r="C17" s="56">
        <f>+'Work Report Consultant'!S15</f>
        <v>11</v>
      </c>
      <c r="D17" s="54" t="str">
        <f>+'Work Report Consultant'!T15</f>
        <v>Day</v>
      </c>
      <c r="E17" s="55">
        <f>+'Work Report Consultant'!AE15</f>
        <v>1</v>
      </c>
    </row>
    <row r="18" spans="2:5" ht="18.75" customHeight="1">
      <c r="B18" s="106">
        <f t="shared" si="0"/>
        <v>136</v>
      </c>
      <c r="C18" s="56">
        <f>+'Work Report Consultant'!S16</f>
        <v>12</v>
      </c>
      <c r="D18" s="54" t="str">
        <f>+'Work Report Consultant'!T16</f>
        <v>Day</v>
      </c>
      <c r="E18" s="55">
        <f>+'Work Report Consultant'!AE16</f>
        <v>1</v>
      </c>
    </row>
    <row r="19" spans="2:5" ht="18.75" customHeight="1">
      <c r="B19" s="106">
        <f t="shared" si="0"/>
        <v>137</v>
      </c>
      <c r="C19" s="56">
        <f>+'Work Report Consultant'!S17</f>
        <v>13</v>
      </c>
      <c r="D19" s="54" t="str">
        <f>+'Work Report Consultant'!T17</f>
        <v>Day</v>
      </c>
      <c r="E19" s="55">
        <f>+'Work Report Consultant'!AE17</f>
        <v>1</v>
      </c>
    </row>
    <row r="20" spans="2:5" ht="18.75" customHeight="1">
      <c r="B20" s="106">
        <f t="shared" si="0"/>
        <v>138</v>
      </c>
      <c r="C20" s="56">
        <f>+'Work Report Consultant'!S18</f>
        <v>14</v>
      </c>
      <c r="D20" s="54" t="str">
        <f>+'Work Report Consultant'!T18</f>
        <v>Himmelfahrt</v>
      </c>
      <c r="E20" s="55" t="str">
        <f>+'Work Report Consultant'!AE18</f>
        <v>NA</v>
      </c>
    </row>
    <row r="21" spans="2:5" ht="18.75" customHeight="1">
      <c r="B21" s="106">
        <f t="shared" si="0"/>
        <v>139</v>
      </c>
      <c r="C21" s="56">
        <f>+'Work Report Consultant'!S19</f>
        <v>15</v>
      </c>
      <c r="D21" s="54" t="str">
        <f>+'Work Report Consultant'!T19</f>
        <v>Holiday</v>
      </c>
      <c r="E21" s="55" t="str">
        <f>+'Work Report Consultant'!AE19</f>
        <v>NA</v>
      </c>
    </row>
    <row r="22" spans="2:5" ht="18.75" customHeight="1">
      <c r="B22" s="106">
        <f t="shared" si="0"/>
        <v>140</v>
      </c>
      <c r="C22" s="56">
        <f>+'Work Report Consultant'!S20</f>
        <v>16</v>
      </c>
      <c r="D22" s="54" t="str">
        <f>+'Work Report Consultant'!T20</f>
        <v>N/A</v>
      </c>
      <c r="E22" s="55" t="str">
        <f>+'Work Report Consultant'!AE20</f>
        <v>NA</v>
      </c>
    </row>
    <row r="23" spans="2:5" ht="18.75" customHeight="1">
      <c r="B23" s="106">
        <f t="shared" si="0"/>
        <v>141</v>
      </c>
      <c r="C23" s="56">
        <f>+'Work Report Consultant'!S21</f>
        <v>17</v>
      </c>
      <c r="D23" s="54" t="str">
        <f>+'Work Report Consultant'!T21</f>
        <v>N/A</v>
      </c>
      <c r="E23" s="55" t="str">
        <f>+'Work Report Consultant'!AE21</f>
        <v>NA</v>
      </c>
    </row>
    <row r="24" spans="2:5" ht="18.75" customHeight="1">
      <c r="B24" s="106">
        <f t="shared" si="0"/>
        <v>142</v>
      </c>
      <c r="C24" s="56">
        <f>+'Work Report Consultant'!S22</f>
        <v>18</v>
      </c>
      <c r="D24" s="54" t="str">
        <f>+'Work Report Consultant'!T22</f>
        <v>Holiday</v>
      </c>
      <c r="E24" s="55" t="str">
        <f>+'Work Report Consultant'!AE22</f>
        <v>NA</v>
      </c>
    </row>
    <row r="25" spans="2:5" ht="18.75" customHeight="1">
      <c r="B25" s="106">
        <f t="shared" si="0"/>
        <v>143</v>
      </c>
      <c r="C25" s="56">
        <f>+'Work Report Consultant'!S23</f>
        <v>19</v>
      </c>
      <c r="D25" s="54" t="str">
        <f>+'Work Report Consultant'!T23</f>
        <v>Day</v>
      </c>
      <c r="E25" s="55">
        <f>+'Work Report Consultant'!AE23</f>
        <v>1</v>
      </c>
    </row>
    <row r="26" spans="2:5" ht="18.75" customHeight="1">
      <c r="B26" s="106">
        <f t="shared" si="0"/>
        <v>144</v>
      </c>
      <c r="C26" s="56">
        <f>+'Work Report Consultant'!S24</f>
        <v>20</v>
      </c>
      <c r="D26" s="54" t="str">
        <f>+'Work Report Consultant'!T24</f>
        <v>Day</v>
      </c>
      <c r="E26" s="55">
        <f>+'Work Report Consultant'!AE24</f>
        <v>1</v>
      </c>
    </row>
    <row r="27" spans="2:5" ht="18.75" customHeight="1">
      <c r="B27" s="106">
        <f t="shared" si="0"/>
        <v>145</v>
      </c>
      <c r="C27" s="56">
        <f>+'Work Report Consultant'!S25</f>
        <v>21</v>
      </c>
      <c r="D27" s="54" t="str">
        <f>+'Work Report Consultant'!T25</f>
        <v>Day</v>
      </c>
      <c r="E27" s="55">
        <f>+'Work Report Consultant'!AE25</f>
        <v>1</v>
      </c>
    </row>
    <row r="28" spans="2:5" ht="18.75" customHeight="1">
      <c r="B28" s="106">
        <f t="shared" si="0"/>
        <v>146</v>
      </c>
      <c r="C28" s="56">
        <f>+'Work Report Consultant'!S26</f>
        <v>22</v>
      </c>
      <c r="D28" s="54" t="str">
        <f>+'Work Report Consultant'!T26</f>
        <v>Day</v>
      </c>
      <c r="E28" s="55">
        <f>+'Work Report Consultant'!AE26</f>
        <v>1</v>
      </c>
    </row>
    <row r="29" spans="2:5" ht="18.75" customHeight="1">
      <c r="B29" s="106">
        <f t="shared" si="0"/>
        <v>147</v>
      </c>
      <c r="C29" s="56">
        <f>+'Work Report Consultant'!S27</f>
        <v>23</v>
      </c>
      <c r="D29" s="54" t="str">
        <f>+'Work Report Consultant'!T27</f>
        <v>N/A</v>
      </c>
      <c r="E29" s="55" t="str">
        <f>+'Work Report Consultant'!AE27</f>
        <v>NA</v>
      </c>
    </row>
    <row r="30" spans="2:5" ht="18.75" customHeight="1">
      <c r="B30" s="106">
        <f t="shared" si="0"/>
        <v>148</v>
      </c>
      <c r="C30" s="56">
        <f>+'Work Report Consultant'!S28</f>
        <v>24</v>
      </c>
      <c r="D30" s="54" t="str">
        <f>+'Work Report Consultant'!T28</f>
        <v>N/A</v>
      </c>
      <c r="E30" s="55" t="str">
        <f>+'Work Report Consultant'!AE28</f>
        <v>NA</v>
      </c>
    </row>
    <row r="31" spans="2:5" ht="18.75" customHeight="1">
      <c r="B31" s="106">
        <f t="shared" si="0"/>
        <v>149</v>
      </c>
      <c r="C31" s="56">
        <f>+'Work Report Consultant'!S29</f>
        <v>25</v>
      </c>
      <c r="D31" s="54" t="str">
        <f>+'Work Report Consultant'!T29</f>
        <v>Pfingstmontag</v>
      </c>
      <c r="E31" s="55" t="str">
        <f>+'Work Report Consultant'!AE29</f>
        <v>NA</v>
      </c>
    </row>
    <row r="32" spans="2:5" ht="18.75" customHeight="1">
      <c r="B32" s="106">
        <f t="shared" si="0"/>
        <v>150</v>
      </c>
      <c r="C32" s="56">
        <f>+'Work Report Consultant'!S30</f>
        <v>26</v>
      </c>
      <c r="D32" s="54" t="str">
        <f>+'Work Report Consultant'!T30</f>
        <v>N/A</v>
      </c>
      <c r="E32" s="55" t="str">
        <f>+'Work Report Consultant'!AE30</f>
        <v>NA</v>
      </c>
    </row>
    <row r="33" spans="2:7" ht="18.75" customHeight="1">
      <c r="B33" s="106">
        <f t="shared" si="0"/>
        <v>151</v>
      </c>
      <c r="C33" s="56">
        <f>+'Work Report Consultant'!S31</f>
        <v>27</v>
      </c>
      <c r="D33" s="54" t="str">
        <f>+'Work Report Consultant'!T31</f>
        <v>N/A</v>
      </c>
      <c r="E33" s="55" t="str">
        <f>+'Work Report Consultant'!AE31</f>
        <v>NA</v>
      </c>
    </row>
    <row r="34" spans="2:7" ht="18.75" customHeight="1">
      <c r="B34" s="106">
        <f t="shared" si="0"/>
        <v>152</v>
      </c>
      <c r="C34" s="56">
        <f>+'Work Report Consultant'!S32</f>
        <v>28</v>
      </c>
      <c r="D34" s="54" t="str">
        <f>+'Work Report Consultant'!T32</f>
        <v>N/A</v>
      </c>
      <c r="E34" s="55" t="str">
        <f>+'Work Report Consultant'!AE32</f>
        <v>NA</v>
      </c>
    </row>
    <row r="35" spans="2:7" ht="18.75" customHeight="1">
      <c r="B35" s="106">
        <f t="shared" si="0"/>
        <v>153</v>
      </c>
      <c r="C35" s="56">
        <f>+'Work Report Consultant'!S33</f>
        <v>29</v>
      </c>
      <c r="D35" s="54" t="str">
        <f>+'Work Report Consultant'!T33</f>
        <v>N/A</v>
      </c>
      <c r="E35" s="55" t="str">
        <f>+'Work Report Consultant'!AE33</f>
        <v>NA</v>
      </c>
    </row>
    <row r="36" spans="2:7" ht="18.75" customHeight="1">
      <c r="B36" s="106">
        <f t="shared" si="0"/>
        <v>154</v>
      </c>
      <c r="C36" s="56">
        <f>+'Work Report Consultant'!S34</f>
        <v>30</v>
      </c>
      <c r="D36" s="54" t="str">
        <f>+'Work Report Consultant'!T34</f>
        <v>N/A</v>
      </c>
      <c r="E36" s="55" t="str">
        <f>+'Work Report Consultant'!AE34</f>
        <v>NA</v>
      </c>
    </row>
    <row r="37" spans="2:7" ht="18.75" customHeight="1">
      <c r="B37" s="106">
        <f t="shared" si="0"/>
        <v>155</v>
      </c>
      <c r="C37" s="56">
        <f>+'Work Report Consultant'!S35</f>
        <v>31</v>
      </c>
      <c r="D37" s="54" t="str">
        <f>+'Work Report Consultant'!T35</f>
        <v>N/A</v>
      </c>
      <c r="E37" s="55" t="str">
        <f>+'Work Report Consultant'!AE35</f>
        <v>NA</v>
      </c>
    </row>
    <row r="38" spans="2:7" ht="18.75" customHeight="1" thickBot="1"/>
    <row r="39" spans="2:7" ht="23.25" customHeight="1" thickBot="1">
      <c r="B39" s="71" t="s">
        <v>46</v>
      </c>
      <c r="C39" s="58"/>
      <c r="D39" s="57"/>
      <c r="E39" s="59">
        <f>SUM(E7:E37)</f>
        <v>13</v>
      </c>
      <c r="F39" s="73" t="s">
        <v>49</v>
      </c>
      <c r="G39" s="72"/>
    </row>
    <row r="42" spans="2:7">
      <c r="B42" s="110" t="s">
        <v>69</v>
      </c>
      <c r="C42" s="111"/>
      <c r="D42" s="112"/>
      <c r="E42" s="113"/>
      <c r="F42" s="112"/>
      <c r="G42" s="114"/>
    </row>
    <row r="43" spans="2:7">
      <c r="B43" s="123"/>
      <c r="G43" s="116"/>
    </row>
    <row r="44" spans="2:7">
      <c r="B44" s="117" t="s">
        <v>59</v>
      </c>
      <c r="D44" s="133" t="s">
        <v>64</v>
      </c>
      <c r="E44" s="107" t="s">
        <v>62</v>
      </c>
      <c r="F44" s="135" t="s">
        <v>83</v>
      </c>
      <c r="G44" s="137" t="s">
        <v>85</v>
      </c>
    </row>
    <row r="45" spans="2:7">
      <c r="B45" s="115" t="s">
        <v>60</v>
      </c>
      <c r="D45" s="134" t="s">
        <v>61</v>
      </c>
      <c r="E45" s="56" t="s">
        <v>63</v>
      </c>
      <c r="F45" s="136" t="s">
        <v>63</v>
      </c>
      <c r="G45" s="116"/>
    </row>
    <row r="46" spans="2:7">
      <c r="B46" s="115" t="s">
        <v>60</v>
      </c>
      <c r="D46" s="134" t="s">
        <v>61</v>
      </c>
      <c r="E46" s="56" t="s">
        <v>63</v>
      </c>
      <c r="F46" s="136" t="s">
        <v>63</v>
      </c>
      <c r="G46" s="116"/>
    </row>
    <row r="47" spans="2:7">
      <c r="B47" s="115" t="s">
        <v>60</v>
      </c>
      <c r="D47" s="134" t="s">
        <v>61</v>
      </c>
      <c r="E47" s="56" t="s">
        <v>63</v>
      </c>
      <c r="F47" s="136" t="s">
        <v>63</v>
      </c>
      <c r="G47" s="116"/>
    </row>
    <row r="48" spans="2:7">
      <c r="B48" s="115" t="s">
        <v>60</v>
      </c>
      <c r="D48" s="134" t="s">
        <v>61</v>
      </c>
      <c r="E48" s="56" t="s">
        <v>63</v>
      </c>
      <c r="F48" s="136" t="s">
        <v>63</v>
      </c>
      <c r="G48" s="116"/>
    </row>
    <row r="49" spans="2:7">
      <c r="B49" s="115" t="s">
        <v>60</v>
      </c>
      <c r="D49" s="134" t="s">
        <v>61</v>
      </c>
      <c r="E49" s="56" t="s">
        <v>63</v>
      </c>
      <c r="F49" s="136" t="s">
        <v>63</v>
      </c>
      <c r="G49" s="116"/>
    </row>
    <row r="50" spans="2:7">
      <c r="B50" s="115" t="s">
        <v>60</v>
      </c>
      <c r="D50" s="134" t="s">
        <v>61</v>
      </c>
      <c r="E50" s="56" t="s">
        <v>63</v>
      </c>
      <c r="F50" s="136" t="s">
        <v>63</v>
      </c>
      <c r="G50" s="116"/>
    </row>
    <row r="51" spans="2:7">
      <c r="B51" s="115" t="s">
        <v>60</v>
      </c>
      <c r="D51" s="134" t="s">
        <v>61</v>
      </c>
      <c r="E51" s="56" t="s">
        <v>63</v>
      </c>
      <c r="F51" s="136" t="s">
        <v>63</v>
      </c>
      <c r="G51" s="116"/>
    </row>
    <row r="52" spans="2:7">
      <c r="B52" s="115"/>
      <c r="G52" s="116"/>
    </row>
    <row r="53" spans="2:7">
      <c r="B53" s="122" t="s">
        <v>68</v>
      </c>
      <c r="G53" s="116"/>
    </row>
    <row r="54" spans="2:7">
      <c r="B54" s="121" t="s">
        <v>65</v>
      </c>
      <c r="G54" s="116"/>
    </row>
    <row r="55" spans="2:7">
      <c r="B55" s="121" t="s">
        <v>66</v>
      </c>
      <c r="G55" s="116"/>
    </row>
    <row r="56" spans="2:7">
      <c r="B56" s="120"/>
      <c r="C56" s="109"/>
      <c r="D56" s="62"/>
      <c r="E56" s="118"/>
      <c r="F56" s="62"/>
      <c r="G56" s="119"/>
    </row>
    <row r="57" spans="2:7" ht="37.5" customHeight="1">
      <c r="B57" s="63" t="s">
        <v>47</v>
      </c>
      <c r="E57" s="56"/>
      <c r="F57" s="62"/>
      <c r="G57" s="62"/>
    </row>
    <row r="58" spans="2:7">
      <c r="E58" s="56"/>
    </row>
    <row r="59" spans="2:7" ht="30.75" customHeight="1">
      <c r="B59" s="54" t="s">
        <v>56</v>
      </c>
      <c r="E59" s="56"/>
      <c r="F59" s="54" t="s">
        <v>57</v>
      </c>
    </row>
    <row r="60" spans="2:7" ht="36" customHeight="1">
      <c r="B60" s="64" t="s">
        <v>58</v>
      </c>
      <c r="E60" s="56"/>
      <c r="F60" s="62"/>
      <c r="G60" s="62"/>
    </row>
  </sheetData>
  <pageMargins left="0.70866141732283472" right="0.31496062992125984" top="0.74803149606299213" bottom="0.35433070866141736" header="0.31496062992125984" footer="0.31496062992125984"/>
  <pageSetup paperSize="9" scale="7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B2:G60"/>
  <sheetViews>
    <sheetView showGridLines="0" showRowColHeaders="0" zoomScale="50" zoomScaleNormal="50" workbookViewId="0">
      <selection activeCell="G2" sqref="G2"/>
    </sheetView>
  </sheetViews>
  <sheetFormatPr defaultColWidth="8.88671875" defaultRowHeight="15"/>
  <cols>
    <col min="1" max="1" width="8.88671875" style="54"/>
    <col min="2" max="2" width="11.5546875" style="54" customWidth="1"/>
    <col min="3" max="3" width="6.21875" style="56" customWidth="1"/>
    <col min="4" max="4" width="16.6640625" style="54" bestFit="1" customWidth="1"/>
    <col min="5" max="5" width="14.77734375" style="55" customWidth="1"/>
    <col min="6" max="6" width="10.77734375" style="54" customWidth="1"/>
    <col min="7" max="7" width="36.77734375" style="54" customWidth="1"/>
    <col min="8" max="16384" width="8.88671875" style="54"/>
  </cols>
  <sheetData>
    <row r="2" spans="2:7" ht="26.25" customHeight="1">
      <c r="B2" s="65" t="str">
        <f>+'Work Report Consultant'!B2</f>
        <v>Consultant work report 2026</v>
      </c>
      <c r="C2" s="66"/>
      <c r="D2" s="67"/>
      <c r="E2" s="68"/>
      <c r="G2" s="132" t="s">
        <v>91</v>
      </c>
    </row>
    <row r="3" spans="2:7" ht="27.75" customHeight="1">
      <c r="B3" s="69" t="str">
        <f>+'Work Report Consultant'!B3</f>
        <v>Name:</v>
      </c>
      <c r="C3" s="70" t="str">
        <f>+'Work Report Consultant'!E3</f>
        <v>Jorge Benito Sanabrias</v>
      </c>
      <c r="D3" s="67"/>
      <c r="E3" s="68"/>
      <c r="F3" s="67"/>
    </row>
    <row r="4" spans="2:7" ht="24.75" customHeight="1">
      <c r="B4" s="69">
        <f>+'Work Report Consultant'!P3</f>
        <v>0</v>
      </c>
      <c r="C4" s="70" t="str">
        <f>+'Work Report Consultant'!R3</f>
        <v>Anzen Engineering Switzerland</v>
      </c>
      <c r="D4" s="67"/>
      <c r="E4" s="68"/>
      <c r="F4" s="67"/>
    </row>
    <row r="5" spans="2:7" ht="15.75" thickBot="1"/>
    <row r="6" spans="2:7" ht="21.75" customHeight="1" thickBot="1">
      <c r="B6" s="71" t="str">
        <f>+'Work Report Consultant'!V4</f>
        <v>JUNE</v>
      </c>
      <c r="C6" s="59">
        <f>+'Work Report Consultant'!AV3</f>
        <v>2026</v>
      </c>
      <c r="D6" s="73"/>
      <c r="E6" s="59"/>
      <c r="F6" s="59" t="s">
        <v>48</v>
      </c>
      <c r="G6" s="74"/>
    </row>
    <row r="7" spans="2:7" ht="18.75" customHeight="1">
      <c r="B7" s="106">
        <f>+'Print May Summary'!B37+1</f>
        <v>156</v>
      </c>
      <c r="C7" s="56">
        <f>+'Work Report Consultant'!W5</f>
        <v>1</v>
      </c>
      <c r="D7" s="54" t="str">
        <f>+'Work Report Consultant'!X5</f>
        <v>Holiday</v>
      </c>
      <c r="E7" s="55" t="str">
        <f>+'Work Report Consultant'!AF5</f>
        <v>NA</v>
      </c>
    </row>
    <row r="8" spans="2:7" ht="18.75" customHeight="1">
      <c r="B8" s="106">
        <f>+B7+1</f>
        <v>157</v>
      </c>
      <c r="C8" s="56">
        <f>+'Work Report Consultant'!W6</f>
        <v>2</v>
      </c>
      <c r="D8" s="54" t="str">
        <f>+'Work Report Consultant'!X6</f>
        <v>Holiday</v>
      </c>
      <c r="E8" s="55" t="str">
        <f>+'Work Report Consultant'!AF6</f>
        <v>NA</v>
      </c>
    </row>
    <row r="9" spans="2:7" ht="18.75" customHeight="1">
      <c r="B9" s="106">
        <f t="shared" ref="B9:B36" si="0">+B8+1</f>
        <v>158</v>
      </c>
      <c r="C9" s="56">
        <f>+'Work Report Consultant'!W7</f>
        <v>3</v>
      </c>
      <c r="D9" s="54" t="str">
        <f>+'Work Report Consultant'!X7</f>
        <v>Holiday</v>
      </c>
      <c r="E9" s="55" t="str">
        <f>+'Work Report Consultant'!AF7</f>
        <v>NA</v>
      </c>
    </row>
    <row r="10" spans="2:7" ht="18.75" customHeight="1">
      <c r="B10" s="106">
        <f t="shared" si="0"/>
        <v>159</v>
      </c>
      <c r="C10" s="56">
        <f>+'Work Report Consultant'!W8</f>
        <v>4</v>
      </c>
      <c r="D10" s="54" t="str">
        <f>+'Work Report Consultant'!X8</f>
        <v>Holiday</v>
      </c>
      <c r="E10" s="55" t="str">
        <f>+'Work Report Consultant'!AF8</f>
        <v>NA</v>
      </c>
    </row>
    <row r="11" spans="2:7" ht="18.75" customHeight="1">
      <c r="B11" s="106">
        <f t="shared" si="0"/>
        <v>160</v>
      </c>
      <c r="C11" s="56">
        <f>+'Work Report Consultant'!W9</f>
        <v>5</v>
      </c>
      <c r="D11" s="54" t="str">
        <f>+'Work Report Consultant'!X9</f>
        <v>Holiday</v>
      </c>
      <c r="E11" s="55" t="str">
        <f>+'Work Report Consultant'!AF9</f>
        <v>NA</v>
      </c>
    </row>
    <row r="12" spans="2:7" ht="18.75" customHeight="1">
      <c r="B12" s="106">
        <f t="shared" si="0"/>
        <v>161</v>
      </c>
      <c r="C12" s="56">
        <f>+'Work Report Consultant'!W10</f>
        <v>6</v>
      </c>
      <c r="D12" s="54" t="str">
        <f>+'Work Report Consultant'!X10</f>
        <v>N/A</v>
      </c>
      <c r="E12" s="55" t="str">
        <f>+'Work Report Consultant'!AF10</f>
        <v>NA</v>
      </c>
    </row>
    <row r="13" spans="2:7" ht="18.75" customHeight="1">
      <c r="B13" s="106">
        <f t="shared" si="0"/>
        <v>162</v>
      </c>
      <c r="C13" s="56">
        <f>+'Work Report Consultant'!W11</f>
        <v>7</v>
      </c>
      <c r="D13" s="54" t="str">
        <f>+'Work Report Consultant'!X11</f>
        <v>N/A</v>
      </c>
      <c r="E13" s="55" t="str">
        <f>+'Work Report Consultant'!AF11</f>
        <v>NA</v>
      </c>
    </row>
    <row r="14" spans="2:7" ht="18.75" customHeight="1">
      <c r="B14" s="106">
        <f t="shared" si="0"/>
        <v>163</v>
      </c>
      <c r="C14" s="56">
        <f>+'Work Report Consultant'!W12</f>
        <v>8</v>
      </c>
      <c r="D14" s="54" t="str">
        <f>+'Work Report Consultant'!X12</f>
        <v>Holiday</v>
      </c>
      <c r="E14" s="55" t="str">
        <f>+'Work Report Consultant'!AF12</f>
        <v>NA</v>
      </c>
    </row>
    <row r="15" spans="2:7" ht="18.75" customHeight="1">
      <c r="B15" s="106">
        <f t="shared" si="0"/>
        <v>164</v>
      </c>
      <c r="C15" s="56">
        <f>+'Work Report Consultant'!W13</f>
        <v>9</v>
      </c>
      <c r="D15" s="54" t="str">
        <f>+'Work Report Consultant'!X13</f>
        <v>Day</v>
      </c>
      <c r="E15" s="55">
        <f>+'Work Report Consultant'!AF13</f>
        <v>1</v>
      </c>
    </row>
    <row r="16" spans="2:7" ht="18.75" customHeight="1">
      <c r="B16" s="106">
        <f t="shared" si="0"/>
        <v>165</v>
      </c>
      <c r="C16" s="56">
        <f>+'Work Report Consultant'!W14</f>
        <v>10</v>
      </c>
      <c r="D16" s="54" t="str">
        <f>+'Work Report Consultant'!X14</f>
        <v>Day</v>
      </c>
      <c r="E16" s="55">
        <f>+'Work Report Consultant'!AF14</f>
        <v>1</v>
      </c>
    </row>
    <row r="17" spans="2:5" ht="18.75" customHeight="1">
      <c r="B17" s="106">
        <f t="shared" si="0"/>
        <v>166</v>
      </c>
      <c r="C17" s="56">
        <f>+'Work Report Consultant'!W15</f>
        <v>11</v>
      </c>
      <c r="D17" s="54" t="str">
        <f>+'Work Report Consultant'!X15</f>
        <v>Day</v>
      </c>
      <c r="E17" s="55">
        <f>+'Work Report Consultant'!AF15</f>
        <v>1</v>
      </c>
    </row>
    <row r="18" spans="2:5" ht="18.75" customHeight="1">
      <c r="B18" s="106">
        <f t="shared" si="0"/>
        <v>167</v>
      </c>
      <c r="C18" s="56">
        <f>+'Work Report Consultant'!W16</f>
        <v>12</v>
      </c>
      <c r="D18" s="54" t="str">
        <f>+'Work Report Consultant'!X16</f>
        <v>Day</v>
      </c>
      <c r="E18" s="55">
        <f>+'Work Report Consultant'!AF16</f>
        <v>1</v>
      </c>
    </row>
    <row r="19" spans="2:5" ht="18.75" customHeight="1">
      <c r="B19" s="106">
        <f t="shared" si="0"/>
        <v>168</v>
      </c>
      <c r="C19" s="56">
        <f>+'Work Report Consultant'!W17</f>
        <v>13</v>
      </c>
      <c r="D19" s="54" t="str">
        <f>+'Work Report Consultant'!X17</f>
        <v>N/A</v>
      </c>
      <c r="E19" s="55" t="str">
        <f>+'Work Report Consultant'!AF17</f>
        <v>NA</v>
      </c>
    </row>
    <row r="20" spans="2:5" ht="18.75" customHeight="1">
      <c r="B20" s="106">
        <f t="shared" si="0"/>
        <v>169</v>
      </c>
      <c r="C20" s="56">
        <f>+'Work Report Consultant'!W18</f>
        <v>14</v>
      </c>
      <c r="D20" s="54" t="str">
        <f>+'Work Report Consultant'!X18</f>
        <v>N/A</v>
      </c>
      <c r="E20" s="55" t="str">
        <f>+'Work Report Consultant'!AF18</f>
        <v>NA</v>
      </c>
    </row>
    <row r="21" spans="2:5" ht="18.75" customHeight="1">
      <c r="B21" s="106">
        <f t="shared" si="0"/>
        <v>170</v>
      </c>
      <c r="C21" s="56">
        <f>+'Work Report Consultant'!W19</f>
        <v>15</v>
      </c>
      <c r="D21" s="54" t="str">
        <f>+'Work Report Consultant'!X19</f>
        <v>Day</v>
      </c>
      <c r="E21" s="55">
        <f>+'Work Report Consultant'!AF19</f>
        <v>1</v>
      </c>
    </row>
    <row r="22" spans="2:5" ht="18.75" customHeight="1">
      <c r="B22" s="106">
        <f t="shared" si="0"/>
        <v>171</v>
      </c>
      <c r="C22" s="56">
        <f>+'Work Report Consultant'!W20</f>
        <v>16</v>
      </c>
      <c r="D22" s="54" t="str">
        <f>+'Work Report Consultant'!X20</f>
        <v>Day</v>
      </c>
      <c r="E22" s="55">
        <f>+'Work Report Consultant'!AF20</f>
        <v>1</v>
      </c>
    </row>
    <row r="23" spans="2:5" ht="18.75" customHeight="1">
      <c r="B23" s="106">
        <f t="shared" si="0"/>
        <v>172</v>
      </c>
      <c r="C23" s="56">
        <f>+'Work Report Consultant'!W21</f>
        <v>17</v>
      </c>
      <c r="D23" s="54" t="str">
        <f>+'Work Report Consultant'!X21</f>
        <v>Day</v>
      </c>
      <c r="E23" s="55">
        <f>+'Work Report Consultant'!AF21</f>
        <v>1</v>
      </c>
    </row>
    <row r="24" spans="2:5" ht="18.75" customHeight="1">
      <c r="B24" s="106">
        <f t="shared" si="0"/>
        <v>173</v>
      </c>
      <c r="C24" s="56">
        <f>+'Work Report Consultant'!W22</f>
        <v>18</v>
      </c>
      <c r="D24" s="54" t="str">
        <f>+'Work Report Consultant'!X22</f>
        <v>Day</v>
      </c>
      <c r="E24" s="55">
        <f>+'Work Report Consultant'!AF22</f>
        <v>1</v>
      </c>
    </row>
    <row r="25" spans="2:5" ht="18.75" customHeight="1">
      <c r="B25" s="106">
        <f t="shared" si="0"/>
        <v>174</v>
      </c>
      <c r="C25" s="56">
        <f>+'Work Report Consultant'!W23</f>
        <v>19</v>
      </c>
      <c r="D25" s="54" t="str">
        <f>+'Work Report Consultant'!X23</f>
        <v>Day</v>
      </c>
      <c r="E25" s="55">
        <f>+'Work Report Consultant'!AF23</f>
        <v>1</v>
      </c>
    </row>
    <row r="26" spans="2:5" ht="18.75" customHeight="1">
      <c r="B26" s="106">
        <f t="shared" si="0"/>
        <v>175</v>
      </c>
      <c r="C26" s="56">
        <f>+'Work Report Consultant'!W24</f>
        <v>20</v>
      </c>
      <c r="D26" s="54" t="str">
        <f>+'Work Report Consultant'!X24</f>
        <v>N/A</v>
      </c>
      <c r="E26" s="55" t="str">
        <f>+'Work Report Consultant'!AF24</f>
        <v>NA</v>
      </c>
    </row>
    <row r="27" spans="2:5" ht="18.75" customHeight="1">
      <c r="B27" s="106">
        <f t="shared" si="0"/>
        <v>176</v>
      </c>
      <c r="C27" s="56">
        <f>+'Work Report Consultant'!W25</f>
        <v>21</v>
      </c>
      <c r="D27" s="54" t="str">
        <f>+'Work Report Consultant'!X25</f>
        <v>N/A</v>
      </c>
      <c r="E27" s="55" t="str">
        <f>+'Work Report Consultant'!AF25</f>
        <v>NA</v>
      </c>
    </row>
    <row r="28" spans="2:5" ht="18.75" customHeight="1">
      <c r="B28" s="106">
        <f t="shared" si="0"/>
        <v>177</v>
      </c>
      <c r="C28" s="56">
        <f>+'Work Report Consultant'!W26</f>
        <v>22</v>
      </c>
      <c r="D28" s="54" t="str">
        <f>+'Work Report Consultant'!X26</f>
        <v>Day</v>
      </c>
      <c r="E28" s="55">
        <f>+'Work Report Consultant'!AF26</f>
        <v>1</v>
      </c>
    </row>
    <row r="29" spans="2:5" ht="18.75" customHeight="1">
      <c r="B29" s="106">
        <f t="shared" si="0"/>
        <v>178</v>
      </c>
      <c r="C29" s="56">
        <f>+'Work Report Consultant'!W27</f>
        <v>23</v>
      </c>
      <c r="D29" s="54" t="str">
        <f>+'Work Report Consultant'!X27</f>
        <v>Day</v>
      </c>
      <c r="E29" s="55">
        <f>+'Work Report Consultant'!AF27</f>
        <v>1</v>
      </c>
    </row>
    <row r="30" spans="2:5" ht="18.75" customHeight="1">
      <c r="B30" s="106">
        <f t="shared" si="0"/>
        <v>179</v>
      </c>
      <c r="C30" s="56">
        <f>+'Work Report Consultant'!W28</f>
        <v>24</v>
      </c>
      <c r="D30" s="54" t="str">
        <f>+'Work Report Consultant'!X28</f>
        <v>Day</v>
      </c>
      <c r="E30" s="55">
        <f>+'Work Report Consultant'!AF28</f>
        <v>1</v>
      </c>
    </row>
    <row r="31" spans="2:5" ht="18.75" customHeight="1">
      <c r="B31" s="106">
        <f t="shared" si="0"/>
        <v>180</v>
      </c>
      <c r="C31" s="56">
        <f>+'Work Report Consultant'!W29</f>
        <v>25</v>
      </c>
      <c r="D31" s="54" t="str">
        <f>+'Work Report Consultant'!X29</f>
        <v>Day</v>
      </c>
      <c r="E31" s="55">
        <f>+'Work Report Consultant'!AF29</f>
        <v>1</v>
      </c>
    </row>
    <row r="32" spans="2:5" ht="18.75" customHeight="1">
      <c r="B32" s="106">
        <f t="shared" si="0"/>
        <v>181</v>
      </c>
      <c r="C32" s="56">
        <f>+'Work Report Consultant'!W30</f>
        <v>26</v>
      </c>
      <c r="D32" s="54" t="str">
        <f>+'Work Report Consultant'!X30</f>
        <v>Day</v>
      </c>
      <c r="E32" s="55">
        <f>+'Work Report Consultant'!AF30</f>
        <v>1</v>
      </c>
    </row>
    <row r="33" spans="2:7" ht="18.75" customHeight="1">
      <c r="B33" s="106">
        <f t="shared" si="0"/>
        <v>182</v>
      </c>
      <c r="C33" s="56">
        <f>+'Work Report Consultant'!W31</f>
        <v>27</v>
      </c>
      <c r="D33" s="54" t="str">
        <f>+'Work Report Consultant'!X31</f>
        <v>N/A</v>
      </c>
      <c r="E33" s="55" t="str">
        <f>+'Work Report Consultant'!AF31</f>
        <v>NA</v>
      </c>
    </row>
    <row r="34" spans="2:7" ht="18.75" customHeight="1">
      <c r="B34" s="106">
        <f t="shared" si="0"/>
        <v>183</v>
      </c>
      <c r="C34" s="56">
        <f>+'Work Report Consultant'!W32</f>
        <v>28</v>
      </c>
      <c r="D34" s="54" t="str">
        <f>+'Work Report Consultant'!X32</f>
        <v>N/A</v>
      </c>
      <c r="E34" s="55" t="str">
        <f>+'Work Report Consultant'!AF32</f>
        <v>NA</v>
      </c>
    </row>
    <row r="35" spans="2:7" ht="18.75" customHeight="1">
      <c r="B35" s="106">
        <f t="shared" si="0"/>
        <v>184</v>
      </c>
      <c r="C35" s="56">
        <f>+'Work Report Consultant'!W33</f>
        <v>29</v>
      </c>
      <c r="D35" s="54" t="str">
        <f>+'Work Report Consultant'!X33</f>
        <v>Day</v>
      </c>
      <c r="E35" s="55">
        <f>+'Work Report Consultant'!AF33</f>
        <v>1</v>
      </c>
    </row>
    <row r="36" spans="2:7" ht="18.75" customHeight="1">
      <c r="B36" s="106">
        <f t="shared" si="0"/>
        <v>185</v>
      </c>
      <c r="C36" s="56">
        <f>+'Work Report Consultant'!W34</f>
        <v>30</v>
      </c>
      <c r="D36" s="54" t="str">
        <f>+'Work Report Consultant'!X34</f>
        <v>Day</v>
      </c>
      <c r="E36" s="55">
        <f>+'Work Report Consultant'!AF34</f>
        <v>1</v>
      </c>
    </row>
    <row r="37" spans="2:7" ht="18.75" customHeight="1"/>
    <row r="38" spans="2:7" ht="18.75" customHeight="1" thickBot="1"/>
    <row r="39" spans="2:7" ht="23.25" customHeight="1" thickBot="1">
      <c r="B39" s="71" t="s">
        <v>46</v>
      </c>
      <c r="C39" s="58"/>
      <c r="D39" s="57"/>
      <c r="E39" s="59">
        <f>SUM(E7:E37)</f>
        <v>16</v>
      </c>
      <c r="F39" s="73" t="s">
        <v>49</v>
      </c>
      <c r="G39" s="72"/>
    </row>
    <row r="42" spans="2:7">
      <c r="B42" s="110" t="s">
        <v>69</v>
      </c>
      <c r="C42" s="111"/>
      <c r="D42" s="112"/>
      <c r="E42" s="113"/>
      <c r="F42" s="112"/>
      <c r="G42" s="114"/>
    </row>
    <row r="43" spans="2:7">
      <c r="B43" s="123"/>
      <c r="G43" s="116"/>
    </row>
    <row r="44" spans="2:7">
      <c r="B44" s="117" t="s">
        <v>59</v>
      </c>
      <c r="D44" s="133" t="s">
        <v>64</v>
      </c>
      <c r="E44" s="107" t="s">
        <v>62</v>
      </c>
      <c r="F44" s="135" t="s">
        <v>83</v>
      </c>
      <c r="G44" s="137" t="s">
        <v>85</v>
      </c>
    </row>
    <row r="45" spans="2:7">
      <c r="B45" s="115" t="s">
        <v>60</v>
      </c>
      <c r="D45" s="134" t="s">
        <v>61</v>
      </c>
      <c r="E45" s="56" t="s">
        <v>63</v>
      </c>
      <c r="F45" s="136" t="s">
        <v>63</v>
      </c>
      <c r="G45" s="116"/>
    </row>
    <row r="46" spans="2:7">
      <c r="B46" s="115" t="s">
        <v>60</v>
      </c>
      <c r="D46" s="134" t="s">
        <v>61</v>
      </c>
      <c r="E46" s="56" t="s">
        <v>63</v>
      </c>
      <c r="F46" s="136" t="s">
        <v>63</v>
      </c>
      <c r="G46" s="116"/>
    </row>
    <row r="47" spans="2:7">
      <c r="B47" s="115" t="s">
        <v>60</v>
      </c>
      <c r="D47" s="134" t="s">
        <v>61</v>
      </c>
      <c r="E47" s="56" t="s">
        <v>63</v>
      </c>
      <c r="F47" s="136" t="s">
        <v>63</v>
      </c>
      <c r="G47" s="116"/>
    </row>
    <row r="48" spans="2:7">
      <c r="B48" s="115" t="s">
        <v>60</v>
      </c>
      <c r="D48" s="134" t="s">
        <v>61</v>
      </c>
      <c r="E48" s="56" t="s">
        <v>63</v>
      </c>
      <c r="F48" s="136" t="s">
        <v>63</v>
      </c>
      <c r="G48" s="116"/>
    </row>
    <row r="49" spans="2:7">
      <c r="B49" s="115" t="s">
        <v>60</v>
      </c>
      <c r="D49" s="134" t="s">
        <v>61</v>
      </c>
      <c r="E49" s="56" t="s">
        <v>63</v>
      </c>
      <c r="F49" s="136" t="s">
        <v>63</v>
      </c>
      <c r="G49" s="116"/>
    </row>
    <row r="50" spans="2:7">
      <c r="B50" s="115" t="s">
        <v>60</v>
      </c>
      <c r="D50" s="134" t="s">
        <v>61</v>
      </c>
      <c r="E50" s="56" t="s">
        <v>63</v>
      </c>
      <c r="F50" s="136" t="s">
        <v>63</v>
      </c>
      <c r="G50" s="116"/>
    </row>
    <row r="51" spans="2:7">
      <c r="B51" s="115" t="s">
        <v>60</v>
      </c>
      <c r="D51" s="134" t="s">
        <v>61</v>
      </c>
      <c r="E51" s="56" t="s">
        <v>63</v>
      </c>
      <c r="F51" s="136" t="s">
        <v>63</v>
      </c>
      <c r="G51" s="116"/>
    </row>
    <row r="52" spans="2:7">
      <c r="B52" s="115"/>
      <c r="G52" s="116"/>
    </row>
    <row r="53" spans="2:7">
      <c r="B53" s="122" t="s">
        <v>68</v>
      </c>
      <c r="G53" s="116"/>
    </row>
    <row r="54" spans="2:7">
      <c r="B54" s="121" t="s">
        <v>65</v>
      </c>
      <c r="G54" s="116"/>
    </row>
    <row r="55" spans="2:7">
      <c r="B55" s="121" t="s">
        <v>66</v>
      </c>
      <c r="G55" s="116"/>
    </row>
    <row r="56" spans="2:7">
      <c r="B56" s="120"/>
      <c r="C56" s="109"/>
      <c r="D56" s="62"/>
      <c r="E56" s="118"/>
      <c r="F56" s="62"/>
      <c r="G56" s="119"/>
    </row>
    <row r="57" spans="2:7" ht="37.5" customHeight="1">
      <c r="B57" s="63" t="s">
        <v>47</v>
      </c>
      <c r="E57" s="56"/>
      <c r="F57" s="62"/>
      <c r="G57" s="62"/>
    </row>
    <row r="58" spans="2:7">
      <c r="E58" s="56"/>
    </row>
    <row r="59" spans="2:7" ht="30.75" customHeight="1">
      <c r="B59" s="54" t="s">
        <v>56</v>
      </c>
      <c r="E59" s="56"/>
      <c r="F59" s="54" t="s">
        <v>57</v>
      </c>
    </row>
    <row r="60" spans="2:7" ht="36" customHeight="1">
      <c r="B60" s="64" t="s">
        <v>58</v>
      </c>
      <c r="E60" s="56"/>
      <c r="F60" s="62"/>
      <c r="G60" s="62"/>
    </row>
  </sheetData>
  <pageMargins left="0.70866141732283472" right="0.31496062992125984" top="0.74803149606299213" bottom="0.35433070866141736" header="0.31496062992125984" footer="0.31496062992125984"/>
  <pageSetup paperSize="9" scale="7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B2:G60"/>
  <sheetViews>
    <sheetView showGridLines="0" showRowColHeaders="0" zoomScale="50" zoomScaleNormal="50" workbookViewId="0">
      <selection activeCell="G2" sqref="G2"/>
    </sheetView>
  </sheetViews>
  <sheetFormatPr defaultColWidth="8.88671875" defaultRowHeight="15"/>
  <cols>
    <col min="1" max="1" width="8.88671875" style="54"/>
    <col min="2" max="2" width="11.5546875" style="54" customWidth="1"/>
    <col min="3" max="3" width="6.21875" style="56" customWidth="1"/>
    <col min="4" max="4" width="16.6640625" style="54" bestFit="1" customWidth="1"/>
    <col min="5" max="5" width="14.77734375" style="55" customWidth="1"/>
    <col min="6" max="6" width="10.77734375" style="54" customWidth="1"/>
    <col min="7" max="7" width="36.77734375" style="54" customWidth="1"/>
    <col min="8" max="16384" width="8.88671875" style="54"/>
  </cols>
  <sheetData>
    <row r="2" spans="2:7" ht="26.25" customHeight="1">
      <c r="B2" s="65" t="str">
        <f>+'Work Report Consultant'!B2</f>
        <v>Consultant work report 2026</v>
      </c>
      <c r="C2" s="66"/>
      <c r="D2" s="67"/>
      <c r="E2" s="68"/>
      <c r="G2" s="132" t="s">
        <v>91</v>
      </c>
    </row>
    <row r="3" spans="2:7" ht="27.75" customHeight="1">
      <c r="B3" s="69" t="str">
        <f>+'Work Report Consultant'!B3</f>
        <v>Name:</v>
      </c>
      <c r="C3" s="70" t="str">
        <f>+'Work Report Consultant'!E3</f>
        <v>Jorge Benito Sanabrias</v>
      </c>
      <c r="D3" s="67"/>
      <c r="E3" s="68"/>
      <c r="F3" s="67"/>
    </row>
    <row r="4" spans="2:7" ht="24.75" customHeight="1">
      <c r="B4" s="69">
        <f>+'Work Report Consultant'!P3</f>
        <v>0</v>
      </c>
      <c r="C4" s="70" t="str">
        <f>+'Work Report Consultant'!R3</f>
        <v>Anzen Engineering Switzerland</v>
      </c>
      <c r="D4" s="67"/>
      <c r="E4" s="68"/>
      <c r="F4" s="67"/>
    </row>
    <row r="5" spans="2:7" ht="15.75" thickBot="1"/>
    <row r="6" spans="2:7" ht="21.75" customHeight="1" thickBot="1">
      <c r="B6" s="71" t="str">
        <f>+'Work Report Consultant'!B40</f>
        <v>JULY</v>
      </c>
      <c r="C6" s="59">
        <f>+'Work Report Consultant'!AV3</f>
        <v>2026</v>
      </c>
      <c r="D6" s="73"/>
      <c r="E6" s="59"/>
      <c r="F6" s="59" t="s">
        <v>48</v>
      </c>
      <c r="G6" s="74"/>
    </row>
    <row r="7" spans="2:7" ht="18.75" customHeight="1">
      <c r="B7" s="106">
        <f>+'Print June Summary'!B36+1</f>
        <v>186</v>
      </c>
      <c r="C7" s="56">
        <f>+'Work Report Consultant'!C41</f>
        <v>1</v>
      </c>
      <c r="D7" s="54" t="str">
        <f>+'Work Report Consultant'!D41</f>
        <v>N/A</v>
      </c>
      <c r="E7" s="55" t="str">
        <f>+'Work Report Consultant'!AA41</f>
        <v>NA</v>
      </c>
    </row>
    <row r="8" spans="2:7" ht="18.75" customHeight="1">
      <c r="B8" s="106">
        <f>+B7+1</f>
        <v>187</v>
      </c>
      <c r="C8" s="56">
        <f>+'Work Report Consultant'!C42</f>
        <v>2</v>
      </c>
      <c r="D8" s="54" t="str">
        <f>+'Work Report Consultant'!D42</f>
        <v>N/A</v>
      </c>
      <c r="E8" s="55" t="str">
        <f>+'Work Report Consultant'!AA42</f>
        <v>NA</v>
      </c>
    </row>
    <row r="9" spans="2:7" ht="18.75" customHeight="1">
      <c r="B9" s="106">
        <f t="shared" ref="B9:B37" si="0">+B8+1</f>
        <v>188</v>
      </c>
      <c r="C9" s="56">
        <f>+'Work Report Consultant'!C43</f>
        <v>3</v>
      </c>
      <c r="D9" s="54" t="str">
        <f>+'Work Report Consultant'!D43</f>
        <v>N/A</v>
      </c>
      <c r="E9" s="55" t="str">
        <f>+'Work Report Consultant'!AA43</f>
        <v>NA</v>
      </c>
    </row>
    <row r="10" spans="2:7" ht="18.75" customHeight="1">
      <c r="B10" s="106">
        <f t="shared" si="0"/>
        <v>189</v>
      </c>
      <c r="C10" s="56">
        <f>+'Work Report Consultant'!C44</f>
        <v>4</v>
      </c>
      <c r="D10" s="54" t="str">
        <f>+'Work Report Consultant'!D44</f>
        <v>N/A</v>
      </c>
      <c r="E10" s="55" t="str">
        <f>+'Work Report Consultant'!AA44</f>
        <v>NA</v>
      </c>
    </row>
    <row r="11" spans="2:7" ht="18.75" customHeight="1">
      <c r="B11" s="106">
        <f t="shared" si="0"/>
        <v>190</v>
      </c>
      <c r="C11" s="56">
        <f>+'Work Report Consultant'!C45</f>
        <v>5</v>
      </c>
      <c r="D11" s="54" t="str">
        <f>+'Work Report Consultant'!D45</f>
        <v>N/A</v>
      </c>
      <c r="E11" s="55" t="str">
        <f>+'Work Report Consultant'!AA45</f>
        <v>NA</v>
      </c>
    </row>
    <row r="12" spans="2:7" ht="18.75" customHeight="1">
      <c r="B12" s="106">
        <f t="shared" si="0"/>
        <v>191</v>
      </c>
      <c r="C12" s="56">
        <f>+'Work Report Consultant'!C46</f>
        <v>6</v>
      </c>
      <c r="D12" s="54" t="str">
        <f>+'Work Report Consultant'!D46</f>
        <v>N/A</v>
      </c>
      <c r="E12" s="55" t="str">
        <f>+'Work Report Consultant'!AA46</f>
        <v>NA</v>
      </c>
    </row>
    <row r="13" spans="2:7" ht="18.75" customHeight="1">
      <c r="B13" s="106">
        <f t="shared" si="0"/>
        <v>192</v>
      </c>
      <c r="C13" s="56">
        <f>+'Work Report Consultant'!C47</f>
        <v>7</v>
      </c>
      <c r="D13" s="54" t="str">
        <f>+'Work Report Consultant'!D47</f>
        <v>N/A</v>
      </c>
      <c r="E13" s="55" t="str">
        <f>+'Work Report Consultant'!AA47</f>
        <v>NA</v>
      </c>
    </row>
    <row r="14" spans="2:7" ht="18.75" customHeight="1">
      <c r="B14" s="106">
        <f t="shared" si="0"/>
        <v>193</v>
      </c>
      <c r="C14" s="56">
        <f>+'Work Report Consultant'!C48</f>
        <v>8</v>
      </c>
      <c r="D14" s="54" t="str">
        <f>+'Work Report Consultant'!D48</f>
        <v>N/A</v>
      </c>
      <c r="E14" s="55" t="str">
        <f>+'Work Report Consultant'!AA48</f>
        <v>NA</v>
      </c>
    </row>
    <row r="15" spans="2:7" ht="18.75" customHeight="1">
      <c r="B15" s="106">
        <f t="shared" si="0"/>
        <v>194</v>
      </c>
      <c r="C15" s="56">
        <f>+'Work Report Consultant'!C49</f>
        <v>9</v>
      </c>
      <c r="D15" s="54" t="str">
        <f>+'Work Report Consultant'!D49</f>
        <v>N/A</v>
      </c>
      <c r="E15" s="55" t="str">
        <f>+'Work Report Consultant'!AA49</f>
        <v>NA</v>
      </c>
    </row>
    <row r="16" spans="2:7" ht="18.75" customHeight="1">
      <c r="B16" s="106">
        <f t="shared" si="0"/>
        <v>195</v>
      </c>
      <c r="C16" s="56">
        <f>+'Work Report Consultant'!C50</f>
        <v>10</v>
      </c>
      <c r="D16" s="54" t="str">
        <f>+'Work Report Consultant'!D50</f>
        <v>N/A</v>
      </c>
      <c r="E16" s="55" t="str">
        <f>+'Work Report Consultant'!AA50</f>
        <v>NA</v>
      </c>
    </row>
    <row r="17" spans="2:5" ht="18.75" customHeight="1">
      <c r="B17" s="106">
        <f t="shared" si="0"/>
        <v>196</v>
      </c>
      <c r="C17" s="56">
        <f>+'Work Report Consultant'!C51</f>
        <v>11</v>
      </c>
      <c r="D17" s="54" t="str">
        <f>+'Work Report Consultant'!D51</f>
        <v>N/A</v>
      </c>
      <c r="E17" s="55" t="str">
        <f>+'Work Report Consultant'!AA51</f>
        <v>NA</v>
      </c>
    </row>
    <row r="18" spans="2:5" ht="18.75" customHeight="1">
      <c r="B18" s="106">
        <f t="shared" si="0"/>
        <v>197</v>
      </c>
      <c r="C18" s="56">
        <f>+'Work Report Consultant'!C52</f>
        <v>12</v>
      </c>
      <c r="D18" s="54" t="str">
        <f>+'Work Report Consultant'!D52</f>
        <v>N/A</v>
      </c>
      <c r="E18" s="55" t="str">
        <f>+'Work Report Consultant'!AA52</f>
        <v>NA</v>
      </c>
    </row>
    <row r="19" spans="2:5" ht="18.75" customHeight="1">
      <c r="B19" s="106">
        <f t="shared" si="0"/>
        <v>198</v>
      </c>
      <c r="C19" s="56">
        <f>+'Work Report Consultant'!C53</f>
        <v>13</v>
      </c>
      <c r="D19" s="54" t="str">
        <f>+'Work Report Consultant'!D53</f>
        <v>N/A</v>
      </c>
      <c r="E19" s="55" t="str">
        <f>+'Work Report Consultant'!AA53</f>
        <v>NA</v>
      </c>
    </row>
    <row r="20" spans="2:5" ht="18.75" customHeight="1">
      <c r="B20" s="106">
        <f t="shared" si="0"/>
        <v>199</v>
      </c>
      <c r="C20" s="56">
        <f>+'Work Report Consultant'!C54</f>
        <v>14</v>
      </c>
      <c r="D20" s="54" t="str">
        <f>+'Work Report Consultant'!D54</f>
        <v>N/A</v>
      </c>
      <c r="E20" s="55" t="str">
        <f>+'Work Report Consultant'!AA54</f>
        <v>NA</v>
      </c>
    </row>
    <row r="21" spans="2:5" ht="18.75" customHeight="1">
      <c r="B21" s="106">
        <f t="shared" si="0"/>
        <v>200</v>
      </c>
      <c r="C21" s="56">
        <f>+'Work Report Consultant'!C55</f>
        <v>15</v>
      </c>
      <c r="D21" s="54" t="str">
        <f>+'Work Report Consultant'!D55</f>
        <v>N/A</v>
      </c>
      <c r="E21" s="55" t="str">
        <f>+'Work Report Consultant'!AA55</f>
        <v>NA</v>
      </c>
    </row>
    <row r="22" spans="2:5" ht="18.75" customHeight="1">
      <c r="B22" s="106">
        <f t="shared" si="0"/>
        <v>201</v>
      </c>
      <c r="C22" s="56">
        <f>+'Work Report Consultant'!C56</f>
        <v>16</v>
      </c>
      <c r="D22" s="54" t="str">
        <f>+'Work Report Consultant'!D56</f>
        <v>N/A</v>
      </c>
      <c r="E22" s="55" t="str">
        <f>+'Work Report Consultant'!AA56</f>
        <v>NA</v>
      </c>
    </row>
    <row r="23" spans="2:5" ht="18.75" customHeight="1">
      <c r="B23" s="106">
        <f t="shared" si="0"/>
        <v>202</v>
      </c>
      <c r="C23" s="56">
        <f>+'Work Report Consultant'!C57</f>
        <v>17</v>
      </c>
      <c r="D23" s="54" t="str">
        <f>+'Work Report Consultant'!D57</f>
        <v>N/A</v>
      </c>
      <c r="E23" s="55" t="str">
        <f>+'Work Report Consultant'!AA57</f>
        <v>NA</v>
      </c>
    </row>
    <row r="24" spans="2:5" ht="18.75" customHeight="1">
      <c r="B24" s="106">
        <f t="shared" si="0"/>
        <v>203</v>
      </c>
      <c r="C24" s="56">
        <f>+'Work Report Consultant'!C58</f>
        <v>18</v>
      </c>
      <c r="D24" s="54" t="str">
        <f>+'Work Report Consultant'!D58</f>
        <v>N/A</v>
      </c>
      <c r="E24" s="55" t="str">
        <f>+'Work Report Consultant'!AA58</f>
        <v>NA</v>
      </c>
    </row>
    <row r="25" spans="2:5" ht="18.75" customHeight="1">
      <c r="B25" s="106">
        <f t="shared" si="0"/>
        <v>204</v>
      </c>
      <c r="C25" s="56">
        <f>+'Work Report Consultant'!C59</f>
        <v>19</v>
      </c>
      <c r="D25" s="54" t="str">
        <f>+'Work Report Consultant'!D59</f>
        <v>N/A</v>
      </c>
      <c r="E25" s="55" t="str">
        <f>+'Work Report Consultant'!AA59</f>
        <v>NA</v>
      </c>
    </row>
    <row r="26" spans="2:5" ht="18.75" customHeight="1">
      <c r="B26" s="106">
        <f t="shared" si="0"/>
        <v>205</v>
      </c>
      <c r="C26" s="56">
        <f>+'Work Report Consultant'!C60</f>
        <v>20</v>
      </c>
      <c r="D26" s="54" t="str">
        <f>+'Work Report Consultant'!D60</f>
        <v>N/A</v>
      </c>
      <c r="E26" s="55" t="str">
        <f>+'Work Report Consultant'!AA60</f>
        <v>NA</v>
      </c>
    </row>
    <row r="27" spans="2:5" ht="18.75" customHeight="1">
      <c r="B27" s="106">
        <f t="shared" si="0"/>
        <v>206</v>
      </c>
      <c r="C27" s="56">
        <f>+'Work Report Consultant'!C61</f>
        <v>21</v>
      </c>
      <c r="D27" s="54" t="str">
        <f>+'Work Report Consultant'!D61</f>
        <v>N/A</v>
      </c>
      <c r="E27" s="55" t="str">
        <f>+'Work Report Consultant'!AA61</f>
        <v>NA</v>
      </c>
    </row>
    <row r="28" spans="2:5" ht="18.75" customHeight="1">
      <c r="B28" s="106">
        <f t="shared" si="0"/>
        <v>207</v>
      </c>
      <c r="C28" s="56">
        <f>+'Work Report Consultant'!C62</f>
        <v>22</v>
      </c>
      <c r="D28" s="54" t="str">
        <f>+'Work Report Consultant'!D62</f>
        <v>N/A</v>
      </c>
      <c r="E28" s="55" t="str">
        <f>+'Work Report Consultant'!AA62</f>
        <v>NA</v>
      </c>
    </row>
    <row r="29" spans="2:5" ht="18.75" customHeight="1">
      <c r="B29" s="106">
        <f t="shared" si="0"/>
        <v>208</v>
      </c>
      <c r="C29" s="56">
        <f>+'Work Report Consultant'!C63</f>
        <v>23</v>
      </c>
      <c r="D29" s="54" t="str">
        <f>+'Work Report Consultant'!D63</f>
        <v>N/A</v>
      </c>
      <c r="E29" s="55" t="str">
        <f>+'Work Report Consultant'!AA63</f>
        <v>NA</v>
      </c>
    </row>
    <row r="30" spans="2:5" ht="18.75" customHeight="1">
      <c r="B30" s="106">
        <f t="shared" si="0"/>
        <v>209</v>
      </c>
      <c r="C30" s="56">
        <f>+'Work Report Consultant'!C64</f>
        <v>24</v>
      </c>
      <c r="D30" s="54" t="str">
        <f>+'Work Report Consultant'!D64</f>
        <v>N/A</v>
      </c>
      <c r="E30" s="55" t="str">
        <f>+'Work Report Consultant'!AA64</f>
        <v>NA</v>
      </c>
    </row>
    <row r="31" spans="2:5" ht="18.75" customHeight="1">
      <c r="B31" s="106">
        <f t="shared" si="0"/>
        <v>210</v>
      </c>
      <c r="C31" s="56">
        <f>+'Work Report Consultant'!C65</f>
        <v>25</v>
      </c>
      <c r="D31" s="54" t="str">
        <f>+'Work Report Consultant'!D65</f>
        <v>N/A</v>
      </c>
      <c r="E31" s="55" t="str">
        <f>+'Work Report Consultant'!AA65</f>
        <v>NA</v>
      </c>
    </row>
    <row r="32" spans="2:5" ht="18.75" customHeight="1">
      <c r="B32" s="106">
        <f t="shared" si="0"/>
        <v>211</v>
      </c>
      <c r="C32" s="56">
        <f>+'Work Report Consultant'!C66</f>
        <v>26</v>
      </c>
      <c r="D32" s="54" t="str">
        <f>+'Work Report Consultant'!D66</f>
        <v>N/A</v>
      </c>
      <c r="E32" s="55" t="str">
        <f>+'Work Report Consultant'!AA66</f>
        <v>NA</v>
      </c>
    </row>
    <row r="33" spans="2:7" ht="18.75" customHeight="1">
      <c r="B33" s="106">
        <f t="shared" si="0"/>
        <v>212</v>
      </c>
      <c r="C33" s="56">
        <f>+'Work Report Consultant'!C67</f>
        <v>27</v>
      </c>
      <c r="D33" s="54" t="str">
        <f>+'Work Report Consultant'!D67</f>
        <v>N/A</v>
      </c>
      <c r="E33" s="55" t="str">
        <f>+'Work Report Consultant'!AA67</f>
        <v>NA</v>
      </c>
    </row>
    <row r="34" spans="2:7" ht="18.75" customHeight="1">
      <c r="B34" s="106">
        <f t="shared" si="0"/>
        <v>213</v>
      </c>
      <c r="C34" s="56">
        <f>+'Work Report Consultant'!C68</f>
        <v>28</v>
      </c>
      <c r="D34" s="54" t="str">
        <f>+'Work Report Consultant'!D68</f>
        <v>N/A</v>
      </c>
      <c r="E34" s="55" t="str">
        <f>+'Work Report Consultant'!AA68</f>
        <v>NA</v>
      </c>
    </row>
    <row r="35" spans="2:7" ht="18.75" customHeight="1">
      <c r="B35" s="106">
        <f t="shared" si="0"/>
        <v>214</v>
      </c>
      <c r="C35" s="56">
        <f>+'Work Report Consultant'!C69</f>
        <v>29</v>
      </c>
      <c r="D35" s="54" t="str">
        <f>+'Work Report Consultant'!D69</f>
        <v>N/A</v>
      </c>
      <c r="E35" s="55" t="str">
        <f>+'Work Report Consultant'!AA69</f>
        <v>NA</v>
      </c>
    </row>
    <row r="36" spans="2:7" ht="18.75" customHeight="1">
      <c r="B36" s="106">
        <f t="shared" si="0"/>
        <v>215</v>
      </c>
      <c r="C36" s="56">
        <f>+'Work Report Consultant'!C70</f>
        <v>30</v>
      </c>
      <c r="D36" s="54" t="str">
        <f>+'Work Report Consultant'!D70</f>
        <v>N/A</v>
      </c>
      <c r="E36" s="55" t="str">
        <f>+'Work Report Consultant'!AA70</f>
        <v>NA</v>
      </c>
    </row>
    <row r="37" spans="2:7" ht="18.75" customHeight="1">
      <c r="B37" s="106">
        <f t="shared" si="0"/>
        <v>216</v>
      </c>
      <c r="C37" s="56">
        <f>+'Work Report Consultant'!C71</f>
        <v>31</v>
      </c>
      <c r="D37" s="54" t="str">
        <f>+'Work Report Consultant'!D71</f>
        <v>N/A</v>
      </c>
      <c r="E37" s="55" t="str">
        <f>+'Work Report Consultant'!AA71</f>
        <v>NA</v>
      </c>
    </row>
    <row r="38" spans="2:7" ht="18.75" customHeight="1" thickBot="1"/>
    <row r="39" spans="2:7" ht="23.25" customHeight="1" thickBot="1">
      <c r="B39" s="71" t="s">
        <v>46</v>
      </c>
      <c r="C39" s="58"/>
      <c r="D39" s="57"/>
      <c r="E39" s="59">
        <f>SUM(E7:E37)</f>
        <v>0</v>
      </c>
      <c r="F39" s="73" t="s">
        <v>49</v>
      </c>
      <c r="G39" s="72"/>
    </row>
    <row r="42" spans="2:7">
      <c r="B42" s="110" t="s">
        <v>69</v>
      </c>
      <c r="C42" s="111"/>
      <c r="D42" s="112"/>
      <c r="E42" s="113"/>
      <c r="F42" s="112"/>
      <c r="G42" s="114"/>
    </row>
    <row r="43" spans="2:7">
      <c r="B43" s="123"/>
      <c r="G43" s="116"/>
    </row>
    <row r="44" spans="2:7">
      <c r="B44" s="117" t="s">
        <v>59</v>
      </c>
      <c r="D44" s="133" t="s">
        <v>64</v>
      </c>
      <c r="E44" s="107" t="s">
        <v>62</v>
      </c>
      <c r="F44" s="135" t="s">
        <v>83</v>
      </c>
      <c r="G44" s="137" t="s">
        <v>85</v>
      </c>
    </row>
    <row r="45" spans="2:7">
      <c r="B45" s="115" t="s">
        <v>60</v>
      </c>
      <c r="D45" s="134" t="s">
        <v>61</v>
      </c>
      <c r="E45" s="56" t="s">
        <v>63</v>
      </c>
      <c r="F45" s="136" t="s">
        <v>63</v>
      </c>
      <c r="G45" s="116"/>
    </row>
    <row r="46" spans="2:7">
      <c r="B46" s="115" t="s">
        <v>60</v>
      </c>
      <c r="D46" s="134" t="s">
        <v>61</v>
      </c>
      <c r="E46" s="56" t="s">
        <v>63</v>
      </c>
      <c r="F46" s="136" t="s">
        <v>63</v>
      </c>
      <c r="G46" s="116"/>
    </row>
    <row r="47" spans="2:7">
      <c r="B47" s="115" t="s">
        <v>60</v>
      </c>
      <c r="D47" s="134" t="s">
        <v>61</v>
      </c>
      <c r="E47" s="56" t="s">
        <v>63</v>
      </c>
      <c r="F47" s="136" t="s">
        <v>63</v>
      </c>
      <c r="G47" s="116"/>
    </row>
    <row r="48" spans="2:7">
      <c r="B48" s="115" t="s">
        <v>60</v>
      </c>
      <c r="D48" s="134" t="s">
        <v>61</v>
      </c>
      <c r="E48" s="56" t="s">
        <v>63</v>
      </c>
      <c r="F48" s="136" t="s">
        <v>63</v>
      </c>
      <c r="G48" s="116"/>
    </row>
    <row r="49" spans="2:7">
      <c r="B49" s="115" t="s">
        <v>60</v>
      </c>
      <c r="D49" s="134" t="s">
        <v>61</v>
      </c>
      <c r="E49" s="56" t="s">
        <v>63</v>
      </c>
      <c r="F49" s="136" t="s">
        <v>63</v>
      </c>
      <c r="G49" s="116"/>
    </row>
    <row r="50" spans="2:7">
      <c r="B50" s="115" t="s">
        <v>60</v>
      </c>
      <c r="D50" s="134" t="s">
        <v>61</v>
      </c>
      <c r="E50" s="56" t="s">
        <v>63</v>
      </c>
      <c r="F50" s="136" t="s">
        <v>63</v>
      </c>
      <c r="G50" s="116"/>
    </row>
    <row r="51" spans="2:7">
      <c r="B51" s="115" t="s">
        <v>60</v>
      </c>
      <c r="D51" s="134" t="s">
        <v>61</v>
      </c>
      <c r="E51" s="56" t="s">
        <v>63</v>
      </c>
      <c r="F51" s="136" t="s">
        <v>63</v>
      </c>
      <c r="G51" s="116"/>
    </row>
    <row r="52" spans="2:7">
      <c r="B52" s="115"/>
      <c r="G52" s="116"/>
    </row>
    <row r="53" spans="2:7">
      <c r="B53" s="122" t="s">
        <v>68</v>
      </c>
      <c r="G53" s="116"/>
    </row>
    <row r="54" spans="2:7">
      <c r="B54" s="121" t="s">
        <v>65</v>
      </c>
      <c r="G54" s="116"/>
    </row>
    <row r="55" spans="2:7">
      <c r="B55" s="121" t="s">
        <v>66</v>
      </c>
      <c r="G55" s="116"/>
    </row>
    <row r="56" spans="2:7">
      <c r="B56" s="120"/>
      <c r="C56" s="109"/>
      <c r="D56" s="62"/>
      <c r="E56" s="118"/>
      <c r="F56" s="62"/>
      <c r="G56" s="119"/>
    </row>
    <row r="57" spans="2:7" ht="37.5" customHeight="1">
      <c r="B57" s="63" t="s">
        <v>47</v>
      </c>
      <c r="E57" s="56"/>
      <c r="F57" s="62"/>
      <c r="G57" s="62"/>
    </row>
    <row r="58" spans="2:7">
      <c r="E58" s="56"/>
    </row>
    <row r="59" spans="2:7" ht="30.75" customHeight="1">
      <c r="B59" s="54" t="s">
        <v>56</v>
      </c>
      <c r="E59" s="56"/>
      <c r="F59" s="54" t="s">
        <v>57</v>
      </c>
    </row>
    <row r="60" spans="2:7" ht="36" customHeight="1">
      <c r="B60" s="64" t="s">
        <v>58</v>
      </c>
      <c r="E60" s="56"/>
      <c r="F60" s="62"/>
      <c r="G60" s="62"/>
    </row>
  </sheetData>
  <pageMargins left="0.70866141732283472" right="0.31496062992125984" top="0.74803149606299213" bottom="0.35433070866141736" header="0.31496062992125984" footer="0.31496062992125984"/>
  <pageSetup paperSize="9" scale="7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B2:G60"/>
  <sheetViews>
    <sheetView showGridLines="0" showRowColHeaders="0" zoomScale="50" zoomScaleNormal="50" workbookViewId="0">
      <selection activeCell="G2" sqref="G2"/>
    </sheetView>
  </sheetViews>
  <sheetFormatPr defaultColWidth="8.88671875" defaultRowHeight="15"/>
  <cols>
    <col min="1" max="1" width="8.88671875" style="54"/>
    <col min="2" max="2" width="11.5546875" style="54" customWidth="1"/>
    <col min="3" max="3" width="6.21875" style="56" customWidth="1"/>
    <col min="4" max="4" width="16.6640625" style="54" bestFit="1" customWidth="1"/>
    <col min="5" max="5" width="14.77734375" style="55" customWidth="1"/>
    <col min="6" max="6" width="10.77734375" style="54" customWidth="1"/>
    <col min="7" max="7" width="36.77734375" style="54" customWidth="1"/>
    <col min="8" max="16384" width="8.88671875" style="54"/>
  </cols>
  <sheetData>
    <row r="2" spans="2:7" ht="26.25" customHeight="1">
      <c r="B2" s="65" t="str">
        <f>+'Work Report Consultant'!B2</f>
        <v>Consultant work report 2026</v>
      </c>
      <c r="C2" s="66"/>
      <c r="D2" s="67"/>
      <c r="E2" s="68"/>
      <c r="G2" s="132" t="s">
        <v>91</v>
      </c>
    </row>
    <row r="3" spans="2:7" ht="27.75" customHeight="1">
      <c r="B3" s="69" t="str">
        <f>+'Work Report Consultant'!B3</f>
        <v>Name:</v>
      </c>
      <c r="C3" s="70" t="str">
        <f>+'Work Report Consultant'!E3</f>
        <v>Jorge Benito Sanabrias</v>
      </c>
      <c r="D3" s="67"/>
      <c r="E3" s="68"/>
      <c r="F3" s="67"/>
    </row>
    <row r="4" spans="2:7" ht="24.75" customHeight="1">
      <c r="B4" s="69">
        <f>+'Work Report Consultant'!P3</f>
        <v>0</v>
      </c>
      <c r="C4" s="70" t="str">
        <f>+'Work Report Consultant'!R3</f>
        <v>Anzen Engineering Switzerland</v>
      </c>
      <c r="D4" s="67"/>
      <c r="E4" s="68"/>
      <c r="F4" s="67"/>
    </row>
    <row r="5" spans="2:7" ht="15.75" thickBot="1"/>
    <row r="6" spans="2:7" ht="21.75" customHeight="1" thickBot="1">
      <c r="B6" s="71" t="str">
        <f>+'Work Report Consultant'!F40</f>
        <v>AUGUST</v>
      </c>
      <c r="C6" s="59">
        <f>+'Work Report Consultant'!AV3</f>
        <v>2026</v>
      </c>
      <c r="D6" s="73"/>
      <c r="E6" s="59"/>
      <c r="F6" s="59" t="s">
        <v>48</v>
      </c>
      <c r="G6" s="74"/>
    </row>
    <row r="7" spans="2:7" ht="18.75" customHeight="1">
      <c r="B7" s="106">
        <f>+'Print July Summary'!B37+1</f>
        <v>217</v>
      </c>
      <c r="C7" s="56">
        <f>+'Work Report Consultant'!G41</f>
        <v>1</v>
      </c>
      <c r="D7" s="54" t="str">
        <f>+'Work Report Consultant'!H41</f>
        <v>N/A</v>
      </c>
      <c r="E7" s="55" t="str">
        <f>+'Work Report Consultant'!AB41</f>
        <v>NA</v>
      </c>
    </row>
    <row r="8" spans="2:7" ht="18.75" customHeight="1">
      <c r="B8" s="106">
        <f>+B7+1</f>
        <v>218</v>
      </c>
      <c r="C8" s="56">
        <f>+'Work Report Consultant'!G42</f>
        <v>2</v>
      </c>
      <c r="D8" s="54" t="str">
        <f>+'Work Report Consultant'!H42</f>
        <v>N/A</v>
      </c>
      <c r="E8" s="55" t="str">
        <f>+'Work Report Consultant'!AB42</f>
        <v>NA</v>
      </c>
    </row>
    <row r="9" spans="2:7" ht="18.75" customHeight="1">
      <c r="B9" s="106">
        <f t="shared" ref="B9:B37" si="0">+B8+1</f>
        <v>219</v>
      </c>
      <c r="C9" s="56">
        <f>+'Work Report Consultant'!G43</f>
        <v>3</v>
      </c>
      <c r="D9" s="54" t="str">
        <f>+'Work Report Consultant'!H43</f>
        <v>N/A</v>
      </c>
      <c r="E9" s="55" t="str">
        <f>+'Work Report Consultant'!AB43</f>
        <v>NA</v>
      </c>
    </row>
    <row r="10" spans="2:7" ht="18.75" customHeight="1">
      <c r="B10" s="106">
        <f t="shared" si="0"/>
        <v>220</v>
      </c>
      <c r="C10" s="56">
        <f>+'Work Report Consultant'!G44</f>
        <v>4</v>
      </c>
      <c r="D10" s="54" t="str">
        <f>+'Work Report Consultant'!H44</f>
        <v>N/A</v>
      </c>
      <c r="E10" s="55" t="str">
        <f>+'Work Report Consultant'!AB44</f>
        <v>NA</v>
      </c>
    </row>
    <row r="11" spans="2:7" ht="18.75" customHeight="1">
      <c r="B11" s="106">
        <f t="shared" si="0"/>
        <v>221</v>
      </c>
      <c r="C11" s="56">
        <f>+'Work Report Consultant'!G45</f>
        <v>5</v>
      </c>
      <c r="D11" s="54" t="str">
        <f>+'Work Report Consultant'!H45</f>
        <v>N/A</v>
      </c>
      <c r="E11" s="55" t="str">
        <f>+'Work Report Consultant'!AB45</f>
        <v>NA</v>
      </c>
    </row>
    <row r="12" spans="2:7" ht="18.75" customHeight="1">
      <c r="B12" s="106">
        <f t="shared" si="0"/>
        <v>222</v>
      </c>
      <c r="C12" s="56">
        <f>+'Work Report Consultant'!G46</f>
        <v>6</v>
      </c>
      <c r="D12" s="54" t="str">
        <f>+'Work Report Consultant'!H46</f>
        <v>N/A</v>
      </c>
      <c r="E12" s="55" t="str">
        <f>+'Work Report Consultant'!AB46</f>
        <v>NA</v>
      </c>
    </row>
    <row r="13" spans="2:7" ht="18.75" customHeight="1">
      <c r="B13" s="106">
        <f t="shared" si="0"/>
        <v>223</v>
      </c>
      <c r="C13" s="56">
        <f>+'Work Report Consultant'!G47</f>
        <v>7</v>
      </c>
      <c r="D13" s="54" t="str">
        <f>+'Work Report Consultant'!H47</f>
        <v>N/A</v>
      </c>
      <c r="E13" s="55" t="str">
        <f>+'Work Report Consultant'!AB47</f>
        <v>NA</v>
      </c>
    </row>
    <row r="14" spans="2:7" ht="18.75" customHeight="1">
      <c r="B14" s="106">
        <f t="shared" si="0"/>
        <v>224</v>
      </c>
      <c r="C14" s="56">
        <f>+'Work Report Consultant'!G48</f>
        <v>8</v>
      </c>
      <c r="D14" s="54" t="str">
        <f>+'Work Report Consultant'!H48</f>
        <v>N/A</v>
      </c>
      <c r="E14" s="55" t="str">
        <f>+'Work Report Consultant'!AB48</f>
        <v>NA</v>
      </c>
    </row>
    <row r="15" spans="2:7" ht="18.75" customHeight="1">
      <c r="B15" s="106">
        <f t="shared" si="0"/>
        <v>225</v>
      </c>
      <c r="C15" s="56">
        <f>+'Work Report Consultant'!G49</f>
        <v>9</v>
      </c>
      <c r="D15" s="54" t="str">
        <f>+'Work Report Consultant'!H49</f>
        <v>N/A</v>
      </c>
      <c r="E15" s="55" t="str">
        <f>+'Work Report Consultant'!AB49</f>
        <v>NA</v>
      </c>
    </row>
    <row r="16" spans="2:7" ht="18.75" customHeight="1">
      <c r="B16" s="106">
        <f t="shared" si="0"/>
        <v>226</v>
      </c>
      <c r="C16" s="56">
        <f>+'Work Report Consultant'!G50</f>
        <v>10</v>
      </c>
      <c r="D16" s="54" t="str">
        <f>+'Work Report Consultant'!H50</f>
        <v>N/A</v>
      </c>
      <c r="E16" s="55" t="str">
        <f>+'Work Report Consultant'!AB50</f>
        <v>NA</v>
      </c>
    </row>
    <row r="17" spans="2:5" ht="18.75" customHeight="1">
      <c r="B17" s="106">
        <f t="shared" si="0"/>
        <v>227</v>
      </c>
      <c r="C17" s="56">
        <f>+'Work Report Consultant'!G51</f>
        <v>11</v>
      </c>
      <c r="D17" s="54" t="str">
        <f>+'Work Report Consultant'!H51</f>
        <v>N/A</v>
      </c>
      <c r="E17" s="55" t="str">
        <f>+'Work Report Consultant'!AB51</f>
        <v>NA</v>
      </c>
    </row>
    <row r="18" spans="2:5" ht="18.75" customHeight="1">
      <c r="B18" s="106">
        <f t="shared" si="0"/>
        <v>228</v>
      </c>
      <c r="C18" s="56">
        <f>+'Work Report Consultant'!G52</f>
        <v>12</v>
      </c>
      <c r="D18" s="54" t="str">
        <f>+'Work Report Consultant'!H52</f>
        <v>N/A</v>
      </c>
      <c r="E18" s="55" t="str">
        <f>+'Work Report Consultant'!AB52</f>
        <v>NA</v>
      </c>
    </row>
    <row r="19" spans="2:5" ht="18.75" customHeight="1">
      <c r="B19" s="106">
        <f t="shared" si="0"/>
        <v>229</v>
      </c>
      <c r="C19" s="56">
        <f>+'Work Report Consultant'!G53</f>
        <v>13</v>
      </c>
      <c r="D19" s="54" t="str">
        <f>+'Work Report Consultant'!H53</f>
        <v>N/A</v>
      </c>
      <c r="E19" s="55" t="str">
        <f>+'Work Report Consultant'!AB53</f>
        <v>NA</v>
      </c>
    </row>
    <row r="20" spans="2:5" ht="18.75" customHeight="1">
      <c r="B20" s="106">
        <f t="shared" si="0"/>
        <v>230</v>
      </c>
      <c r="C20" s="56">
        <f>+'Work Report Consultant'!G54</f>
        <v>14</v>
      </c>
      <c r="D20" s="54" t="str">
        <f>+'Work Report Consultant'!H54</f>
        <v>N/A</v>
      </c>
      <c r="E20" s="55" t="str">
        <f>+'Work Report Consultant'!AB54</f>
        <v>NA</v>
      </c>
    </row>
    <row r="21" spans="2:5" ht="18.75" customHeight="1">
      <c r="B21" s="106">
        <f t="shared" si="0"/>
        <v>231</v>
      </c>
      <c r="C21" s="56">
        <f>+'Work Report Consultant'!G55</f>
        <v>15</v>
      </c>
      <c r="D21" s="54" t="str">
        <f>+'Work Report Consultant'!H55</f>
        <v>N/A</v>
      </c>
      <c r="E21" s="55" t="str">
        <f>+'Work Report Consultant'!AB55</f>
        <v>NA</v>
      </c>
    </row>
    <row r="22" spans="2:5" ht="18.75" customHeight="1">
      <c r="B22" s="106">
        <f t="shared" si="0"/>
        <v>232</v>
      </c>
      <c r="C22" s="56">
        <f>+'Work Report Consultant'!G56</f>
        <v>16</v>
      </c>
      <c r="D22" s="54" t="str">
        <f>+'Work Report Consultant'!H56</f>
        <v>N/A</v>
      </c>
      <c r="E22" s="55" t="str">
        <f>+'Work Report Consultant'!AB56</f>
        <v>NA</v>
      </c>
    </row>
    <row r="23" spans="2:5" ht="18.75" customHeight="1">
      <c r="B23" s="106">
        <f t="shared" si="0"/>
        <v>233</v>
      </c>
      <c r="C23" s="56">
        <f>+'Work Report Consultant'!G57</f>
        <v>17</v>
      </c>
      <c r="D23" s="54" t="str">
        <f>+'Work Report Consultant'!H57</f>
        <v>N/A</v>
      </c>
      <c r="E23" s="55" t="str">
        <f>+'Work Report Consultant'!AB57</f>
        <v>NA</v>
      </c>
    </row>
    <row r="24" spans="2:5" ht="18.75" customHeight="1">
      <c r="B24" s="106">
        <f t="shared" si="0"/>
        <v>234</v>
      </c>
      <c r="C24" s="56">
        <f>+'Work Report Consultant'!G58</f>
        <v>18</v>
      </c>
      <c r="D24" s="54" t="str">
        <f>+'Work Report Consultant'!H58</f>
        <v>N/A</v>
      </c>
      <c r="E24" s="55" t="str">
        <f>+'Work Report Consultant'!AB58</f>
        <v>NA</v>
      </c>
    </row>
    <row r="25" spans="2:5" ht="18.75" customHeight="1">
      <c r="B25" s="106">
        <f t="shared" si="0"/>
        <v>235</v>
      </c>
      <c r="C25" s="56">
        <f>+'Work Report Consultant'!G59</f>
        <v>19</v>
      </c>
      <c r="D25" s="54" t="str">
        <f>+'Work Report Consultant'!H59</f>
        <v>N/A</v>
      </c>
      <c r="E25" s="55" t="str">
        <f>+'Work Report Consultant'!AB59</f>
        <v>NA</v>
      </c>
    </row>
    <row r="26" spans="2:5" ht="18.75" customHeight="1">
      <c r="B26" s="106">
        <f t="shared" si="0"/>
        <v>236</v>
      </c>
      <c r="C26" s="56">
        <f>+'Work Report Consultant'!G60</f>
        <v>20</v>
      </c>
      <c r="D26" s="54" t="str">
        <f>+'Work Report Consultant'!H60</f>
        <v>N/A</v>
      </c>
      <c r="E26" s="55" t="str">
        <f>+'Work Report Consultant'!AB60</f>
        <v>NA</v>
      </c>
    </row>
    <row r="27" spans="2:5" ht="18.75" customHeight="1">
      <c r="B27" s="106">
        <f t="shared" si="0"/>
        <v>237</v>
      </c>
      <c r="C27" s="56">
        <f>+'Work Report Consultant'!G61</f>
        <v>21</v>
      </c>
      <c r="D27" s="54" t="str">
        <f>+'Work Report Consultant'!H61</f>
        <v>N/A</v>
      </c>
      <c r="E27" s="55" t="str">
        <f>+'Work Report Consultant'!AB61</f>
        <v>NA</v>
      </c>
    </row>
    <row r="28" spans="2:5" ht="18.75" customHeight="1">
      <c r="B28" s="106">
        <f t="shared" si="0"/>
        <v>238</v>
      </c>
      <c r="C28" s="56">
        <f>+'Work Report Consultant'!G62</f>
        <v>22</v>
      </c>
      <c r="D28" s="54" t="str">
        <f>+'Work Report Consultant'!H62</f>
        <v>N/A</v>
      </c>
      <c r="E28" s="55" t="str">
        <f>+'Work Report Consultant'!AB62</f>
        <v>NA</v>
      </c>
    </row>
    <row r="29" spans="2:5" ht="18.75" customHeight="1">
      <c r="B29" s="106">
        <f t="shared" si="0"/>
        <v>239</v>
      </c>
      <c r="C29" s="56">
        <f>+'Work Report Consultant'!G63</f>
        <v>23</v>
      </c>
      <c r="D29" s="54" t="str">
        <f>+'Work Report Consultant'!H63</f>
        <v>N/A</v>
      </c>
      <c r="E29" s="55" t="str">
        <f>+'Work Report Consultant'!AB63</f>
        <v>NA</v>
      </c>
    </row>
    <row r="30" spans="2:5" ht="18.75" customHeight="1">
      <c r="B30" s="106">
        <f t="shared" si="0"/>
        <v>240</v>
      </c>
      <c r="C30" s="56">
        <f>+'Work Report Consultant'!G64</f>
        <v>24</v>
      </c>
      <c r="D30" s="54" t="str">
        <f>+'Work Report Consultant'!H64</f>
        <v>N/A</v>
      </c>
      <c r="E30" s="55" t="str">
        <f>+'Work Report Consultant'!AB64</f>
        <v>NA</v>
      </c>
    </row>
    <row r="31" spans="2:5" ht="18.75" customHeight="1">
      <c r="B31" s="106">
        <f t="shared" si="0"/>
        <v>241</v>
      </c>
      <c r="C31" s="56">
        <f>+'Work Report Consultant'!G65</f>
        <v>25</v>
      </c>
      <c r="D31" s="54" t="str">
        <f>+'Work Report Consultant'!H65</f>
        <v>N/A</v>
      </c>
      <c r="E31" s="55" t="str">
        <f>+'Work Report Consultant'!AB65</f>
        <v>NA</v>
      </c>
    </row>
    <row r="32" spans="2:5" ht="18.75" customHeight="1">
      <c r="B32" s="106">
        <f t="shared" si="0"/>
        <v>242</v>
      </c>
      <c r="C32" s="56">
        <f>+'Work Report Consultant'!G66</f>
        <v>26</v>
      </c>
      <c r="D32" s="54" t="str">
        <f>+'Work Report Consultant'!H66</f>
        <v>N/A</v>
      </c>
      <c r="E32" s="55" t="str">
        <f>+'Work Report Consultant'!AB66</f>
        <v>NA</v>
      </c>
    </row>
    <row r="33" spans="2:7" ht="18.75" customHeight="1">
      <c r="B33" s="106">
        <f t="shared" si="0"/>
        <v>243</v>
      </c>
      <c r="C33" s="56">
        <f>+'Work Report Consultant'!G67</f>
        <v>27</v>
      </c>
      <c r="D33" s="54" t="str">
        <f>+'Work Report Consultant'!H67</f>
        <v>N/A</v>
      </c>
      <c r="E33" s="55" t="str">
        <f>+'Work Report Consultant'!AB67</f>
        <v>NA</v>
      </c>
    </row>
    <row r="34" spans="2:7" ht="18.75" customHeight="1">
      <c r="B34" s="106">
        <f t="shared" si="0"/>
        <v>244</v>
      </c>
      <c r="C34" s="56">
        <f>+'Work Report Consultant'!G68</f>
        <v>28</v>
      </c>
      <c r="D34" s="54" t="str">
        <f>+'Work Report Consultant'!H68</f>
        <v>N/A</v>
      </c>
      <c r="E34" s="55" t="str">
        <f>+'Work Report Consultant'!AB68</f>
        <v>NA</v>
      </c>
    </row>
    <row r="35" spans="2:7" ht="18.75" customHeight="1">
      <c r="B35" s="106">
        <f t="shared" si="0"/>
        <v>245</v>
      </c>
      <c r="C35" s="56">
        <f>+'Work Report Consultant'!G69</f>
        <v>29</v>
      </c>
      <c r="D35" s="54" t="str">
        <f>+'Work Report Consultant'!H69</f>
        <v>N/A</v>
      </c>
      <c r="E35" s="55" t="str">
        <f>+'Work Report Consultant'!AB69</f>
        <v>NA</v>
      </c>
    </row>
    <row r="36" spans="2:7" ht="18.75" customHeight="1">
      <c r="B36" s="106">
        <f t="shared" si="0"/>
        <v>246</v>
      </c>
      <c r="C36" s="56">
        <f>+'Work Report Consultant'!G70</f>
        <v>30</v>
      </c>
      <c r="D36" s="54" t="str">
        <f>+'Work Report Consultant'!H70</f>
        <v>N/A</v>
      </c>
      <c r="E36" s="55" t="str">
        <f>+'Work Report Consultant'!AB70</f>
        <v>NA</v>
      </c>
    </row>
    <row r="37" spans="2:7" ht="18.75" customHeight="1">
      <c r="B37" s="106">
        <f t="shared" si="0"/>
        <v>247</v>
      </c>
      <c r="C37" s="56">
        <f>+'Work Report Consultant'!G71</f>
        <v>31</v>
      </c>
      <c r="D37" s="54" t="str">
        <f>+'Work Report Consultant'!H71</f>
        <v>N/A</v>
      </c>
      <c r="E37" s="55" t="str">
        <f>+'Work Report Consultant'!AB71</f>
        <v>NA</v>
      </c>
    </row>
    <row r="38" spans="2:7" ht="18.75" customHeight="1" thickBot="1"/>
    <row r="39" spans="2:7" ht="23.25" customHeight="1" thickBot="1">
      <c r="B39" s="71" t="s">
        <v>46</v>
      </c>
      <c r="C39" s="58"/>
      <c r="D39" s="57"/>
      <c r="E39" s="59">
        <f>SUM(E7:E37)</f>
        <v>0</v>
      </c>
      <c r="F39" s="73" t="s">
        <v>49</v>
      </c>
      <c r="G39" s="72"/>
    </row>
    <row r="42" spans="2:7">
      <c r="B42" s="110" t="s">
        <v>69</v>
      </c>
      <c r="C42" s="111"/>
      <c r="D42" s="112"/>
      <c r="E42" s="113"/>
      <c r="F42" s="112"/>
      <c r="G42" s="114"/>
    </row>
    <row r="43" spans="2:7">
      <c r="B43" s="123"/>
      <c r="G43" s="116"/>
    </row>
    <row r="44" spans="2:7">
      <c r="B44" s="117" t="s">
        <v>59</v>
      </c>
      <c r="D44" s="133" t="s">
        <v>64</v>
      </c>
      <c r="E44" s="107" t="s">
        <v>62</v>
      </c>
      <c r="F44" s="135" t="s">
        <v>83</v>
      </c>
      <c r="G44" s="137" t="s">
        <v>85</v>
      </c>
    </row>
    <row r="45" spans="2:7">
      <c r="B45" s="115" t="s">
        <v>60</v>
      </c>
      <c r="D45" s="134" t="s">
        <v>61</v>
      </c>
      <c r="E45" s="56" t="s">
        <v>63</v>
      </c>
      <c r="F45" s="136" t="s">
        <v>63</v>
      </c>
      <c r="G45" s="116"/>
    </row>
    <row r="46" spans="2:7">
      <c r="B46" s="115" t="s">
        <v>60</v>
      </c>
      <c r="D46" s="134" t="s">
        <v>61</v>
      </c>
      <c r="E46" s="56" t="s">
        <v>63</v>
      </c>
      <c r="F46" s="136" t="s">
        <v>63</v>
      </c>
      <c r="G46" s="116"/>
    </row>
    <row r="47" spans="2:7">
      <c r="B47" s="115" t="s">
        <v>60</v>
      </c>
      <c r="D47" s="134" t="s">
        <v>61</v>
      </c>
      <c r="E47" s="56" t="s">
        <v>63</v>
      </c>
      <c r="F47" s="136" t="s">
        <v>63</v>
      </c>
      <c r="G47" s="116"/>
    </row>
    <row r="48" spans="2:7">
      <c r="B48" s="115" t="s">
        <v>60</v>
      </c>
      <c r="D48" s="134" t="s">
        <v>61</v>
      </c>
      <c r="E48" s="56" t="s">
        <v>63</v>
      </c>
      <c r="F48" s="136" t="s">
        <v>63</v>
      </c>
      <c r="G48" s="116"/>
    </row>
    <row r="49" spans="2:7">
      <c r="B49" s="115" t="s">
        <v>60</v>
      </c>
      <c r="D49" s="134" t="s">
        <v>61</v>
      </c>
      <c r="E49" s="56" t="s">
        <v>63</v>
      </c>
      <c r="F49" s="136" t="s">
        <v>63</v>
      </c>
      <c r="G49" s="116"/>
    </row>
    <row r="50" spans="2:7">
      <c r="B50" s="115" t="s">
        <v>60</v>
      </c>
      <c r="D50" s="134" t="s">
        <v>61</v>
      </c>
      <c r="E50" s="56" t="s">
        <v>63</v>
      </c>
      <c r="F50" s="136" t="s">
        <v>63</v>
      </c>
      <c r="G50" s="116"/>
    </row>
    <row r="51" spans="2:7">
      <c r="B51" s="115" t="s">
        <v>60</v>
      </c>
      <c r="D51" s="134" t="s">
        <v>61</v>
      </c>
      <c r="E51" s="56" t="s">
        <v>63</v>
      </c>
      <c r="F51" s="136" t="s">
        <v>63</v>
      </c>
      <c r="G51" s="116"/>
    </row>
    <row r="52" spans="2:7">
      <c r="B52" s="115"/>
      <c r="G52" s="116"/>
    </row>
    <row r="53" spans="2:7">
      <c r="B53" s="122" t="s">
        <v>68</v>
      </c>
      <c r="G53" s="116"/>
    </row>
    <row r="54" spans="2:7">
      <c r="B54" s="121" t="s">
        <v>65</v>
      </c>
      <c r="G54" s="116"/>
    </row>
    <row r="55" spans="2:7">
      <c r="B55" s="121" t="s">
        <v>66</v>
      </c>
      <c r="G55" s="116"/>
    </row>
    <row r="56" spans="2:7">
      <c r="B56" s="120"/>
      <c r="C56" s="109"/>
      <c r="D56" s="62"/>
      <c r="E56" s="118"/>
      <c r="F56" s="62"/>
      <c r="G56" s="119"/>
    </row>
    <row r="57" spans="2:7" ht="37.5" customHeight="1">
      <c r="B57" s="63" t="s">
        <v>47</v>
      </c>
      <c r="E57" s="56"/>
      <c r="F57" s="62"/>
      <c r="G57" s="62"/>
    </row>
    <row r="58" spans="2:7">
      <c r="E58" s="56"/>
    </row>
    <row r="59" spans="2:7" ht="30.75" customHeight="1">
      <c r="B59" s="54" t="s">
        <v>56</v>
      </c>
      <c r="E59" s="56"/>
      <c r="F59" s="54" t="s">
        <v>57</v>
      </c>
    </row>
    <row r="60" spans="2:7" ht="36" customHeight="1">
      <c r="B60" s="64" t="s">
        <v>58</v>
      </c>
      <c r="E60" s="56"/>
      <c r="F60" s="62"/>
      <c r="G60" s="62"/>
    </row>
  </sheetData>
  <pageMargins left="0.70866141732283472" right="0.31496062992125984" top="0.74803149606299213" bottom="0.35433070866141736" header="0.31496062992125984" footer="0.31496062992125984"/>
  <pageSetup paperSize="9" scale="7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  <pageSetUpPr fitToPage="1"/>
  </sheetPr>
  <dimension ref="B2:G60"/>
  <sheetViews>
    <sheetView showGridLines="0" showRowColHeaders="0" zoomScale="50" zoomScaleNormal="50" workbookViewId="0">
      <selection activeCell="H12" sqref="H12"/>
    </sheetView>
  </sheetViews>
  <sheetFormatPr defaultColWidth="8.88671875" defaultRowHeight="15"/>
  <cols>
    <col min="1" max="1" width="8.88671875" style="54"/>
    <col min="2" max="2" width="11.5546875" style="54" customWidth="1"/>
    <col min="3" max="3" width="6.21875" style="56" customWidth="1"/>
    <col min="4" max="4" width="16.6640625" style="54" bestFit="1" customWidth="1"/>
    <col min="5" max="5" width="14.77734375" style="55" customWidth="1"/>
    <col min="6" max="6" width="10.77734375" style="54" customWidth="1"/>
    <col min="7" max="7" width="36.77734375" style="54" customWidth="1"/>
    <col min="8" max="16384" width="8.88671875" style="54"/>
  </cols>
  <sheetData>
    <row r="2" spans="2:7" ht="26.25" customHeight="1">
      <c r="B2" s="65" t="str">
        <f>+'Work Report Consultant'!B2</f>
        <v>Consultant work report 2026</v>
      </c>
      <c r="C2" s="66"/>
      <c r="D2" s="67"/>
      <c r="E2" s="68"/>
      <c r="G2" s="132" t="s">
        <v>91</v>
      </c>
    </row>
    <row r="3" spans="2:7" ht="27.75" customHeight="1">
      <c r="B3" s="69" t="str">
        <f>+'Work Report Consultant'!B3</f>
        <v>Name:</v>
      </c>
      <c r="C3" s="70" t="str">
        <f>+'Work Report Consultant'!E3</f>
        <v>Jorge Benito Sanabrias</v>
      </c>
      <c r="D3" s="67"/>
      <c r="E3" s="68"/>
      <c r="F3" s="67"/>
    </row>
    <row r="4" spans="2:7" ht="24.75" customHeight="1">
      <c r="B4" s="69">
        <f>+'Work Report Consultant'!P3</f>
        <v>0</v>
      </c>
      <c r="C4" s="70" t="str">
        <f>+'Work Report Consultant'!R3</f>
        <v>Anzen Engineering Switzerland</v>
      </c>
      <c r="D4" s="67"/>
      <c r="E4" s="68"/>
      <c r="F4" s="67"/>
    </row>
    <row r="5" spans="2:7" ht="15.75" thickBot="1"/>
    <row r="6" spans="2:7" ht="21.75" customHeight="1" thickBot="1">
      <c r="B6" s="76" t="str">
        <f>+'Work Report Consultant'!J40</f>
        <v>SEPTEMBER</v>
      </c>
      <c r="C6" s="59">
        <f>+'Work Report Consultant'!AV3</f>
        <v>2026</v>
      </c>
      <c r="D6" s="73"/>
      <c r="E6" s="59"/>
      <c r="F6" s="59" t="s">
        <v>48</v>
      </c>
      <c r="G6" s="74"/>
    </row>
    <row r="7" spans="2:7" ht="18.75" customHeight="1">
      <c r="B7" s="106">
        <f>+'Print Aug Summary'!B37+1</f>
        <v>248</v>
      </c>
      <c r="C7" s="56">
        <f>+'Work Report Consultant'!K41</f>
        <v>1</v>
      </c>
      <c r="D7" s="54" t="str">
        <f>+'Work Report Consultant'!L41</f>
        <v>N/A</v>
      </c>
      <c r="E7" s="55" t="str">
        <f>+'Work Report Consultant'!AC41</f>
        <v>NA</v>
      </c>
    </row>
    <row r="8" spans="2:7" ht="18.75" customHeight="1">
      <c r="B8" s="106">
        <f>+B7+1</f>
        <v>249</v>
      </c>
      <c r="C8" s="56">
        <f>+'Work Report Consultant'!K42</f>
        <v>2</v>
      </c>
      <c r="D8" s="54" t="str">
        <f>+'Work Report Consultant'!L42</f>
        <v>N/A</v>
      </c>
      <c r="E8" s="55" t="str">
        <f>+'Work Report Consultant'!AC42</f>
        <v>NA</v>
      </c>
    </row>
    <row r="9" spans="2:7" ht="18.75" customHeight="1">
      <c r="B9" s="106">
        <f t="shared" ref="B9:B36" si="0">+B8+1</f>
        <v>250</v>
      </c>
      <c r="C9" s="56">
        <f>+'Work Report Consultant'!K43</f>
        <v>3</v>
      </c>
      <c r="D9" s="54" t="str">
        <f>+'Work Report Consultant'!L43</f>
        <v>N/A</v>
      </c>
      <c r="E9" s="55" t="str">
        <f>+'Work Report Consultant'!AC43</f>
        <v>NA</v>
      </c>
    </row>
    <row r="10" spans="2:7" ht="18.75" customHeight="1">
      <c r="B10" s="106">
        <f t="shared" si="0"/>
        <v>251</v>
      </c>
      <c r="C10" s="56">
        <f>+'Work Report Consultant'!K44</f>
        <v>4</v>
      </c>
      <c r="D10" s="54" t="str">
        <f>+'Work Report Consultant'!L44</f>
        <v>N/A</v>
      </c>
      <c r="E10" s="55" t="str">
        <f>+'Work Report Consultant'!AC44</f>
        <v>NA</v>
      </c>
    </row>
    <row r="11" spans="2:7" ht="18.75" customHeight="1">
      <c r="B11" s="106">
        <f t="shared" si="0"/>
        <v>252</v>
      </c>
      <c r="C11" s="56">
        <f>+'Work Report Consultant'!K45</f>
        <v>5</v>
      </c>
      <c r="D11" s="54" t="str">
        <f>+'Work Report Consultant'!L45</f>
        <v>N/A</v>
      </c>
      <c r="E11" s="55" t="str">
        <f>+'Work Report Consultant'!AC45</f>
        <v>NA</v>
      </c>
    </row>
    <row r="12" spans="2:7" ht="18.75" customHeight="1">
      <c r="B12" s="106">
        <f t="shared" si="0"/>
        <v>253</v>
      </c>
      <c r="C12" s="56">
        <f>+'Work Report Consultant'!K46</f>
        <v>6</v>
      </c>
      <c r="D12" s="54" t="str">
        <f>+'Work Report Consultant'!L46</f>
        <v>N/A</v>
      </c>
      <c r="E12" s="55" t="str">
        <f>+'Work Report Consultant'!AC46</f>
        <v>NA</v>
      </c>
    </row>
    <row r="13" spans="2:7" ht="18.75" customHeight="1">
      <c r="B13" s="106">
        <f t="shared" si="0"/>
        <v>254</v>
      </c>
      <c r="C13" s="56">
        <f>+'Work Report Consultant'!K47</f>
        <v>7</v>
      </c>
      <c r="D13" s="54" t="str">
        <f>+'Work Report Consultant'!L47</f>
        <v>N/A</v>
      </c>
      <c r="E13" s="55" t="str">
        <f>+'Work Report Consultant'!AC47</f>
        <v>NA</v>
      </c>
    </row>
    <row r="14" spans="2:7" ht="18.75" customHeight="1">
      <c r="B14" s="106">
        <f t="shared" si="0"/>
        <v>255</v>
      </c>
      <c r="C14" s="56">
        <f>+'Work Report Consultant'!K48</f>
        <v>8</v>
      </c>
      <c r="D14" s="54" t="str">
        <f>+'Work Report Consultant'!L48</f>
        <v>N/A</v>
      </c>
      <c r="E14" s="55" t="str">
        <f>+'Work Report Consultant'!AC48</f>
        <v>NA</v>
      </c>
    </row>
    <row r="15" spans="2:7" ht="18.75" customHeight="1">
      <c r="B15" s="106">
        <f t="shared" si="0"/>
        <v>256</v>
      </c>
      <c r="C15" s="56">
        <f>+'Work Report Consultant'!K49</f>
        <v>9</v>
      </c>
      <c r="D15" s="54" t="str">
        <f>+'Work Report Consultant'!L49</f>
        <v>N/A</v>
      </c>
      <c r="E15" s="55" t="str">
        <f>+'Work Report Consultant'!AC49</f>
        <v>NA</v>
      </c>
    </row>
    <row r="16" spans="2:7" ht="18.75" customHeight="1">
      <c r="B16" s="106">
        <f t="shared" si="0"/>
        <v>257</v>
      </c>
      <c r="C16" s="56">
        <f>+'Work Report Consultant'!K50</f>
        <v>10</v>
      </c>
      <c r="D16" s="54" t="str">
        <f>+'Work Report Consultant'!L50</f>
        <v>N/A</v>
      </c>
      <c r="E16" s="55" t="str">
        <f>+'Work Report Consultant'!AC50</f>
        <v>NA</v>
      </c>
    </row>
    <row r="17" spans="2:5" ht="18.75" customHeight="1">
      <c r="B17" s="106">
        <f t="shared" si="0"/>
        <v>258</v>
      </c>
      <c r="C17" s="56">
        <f>+'Work Report Consultant'!K51</f>
        <v>11</v>
      </c>
      <c r="D17" s="54" t="str">
        <f>+'Work Report Consultant'!L51</f>
        <v>N/A</v>
      </c>
      <c r="E17" s="55" t="str">
        <f>+'Work Report Consultant'!AC51</f>
        <v>NA</v>
      </c>
    </row>
    <row r="18" spans="2:5" ht="18.75" customHeight="1">
      <c r="B18" s="106">
        <f t="shared" si="0"/>
        <v>259</v>
      </c>
      <c r="C18" s="56">
        <f>+'Work Report Consultant'!K52</f>
        <v>12</v>
      </c>
      <c r="D18" s="54" t="str">
        <f>+'Work Report Consultant'!L52</f>
        <v>N/A</v>
      </c>
      <c r="E18" s="55" t="str">
        <f>+'Work Report Consultant'!AC52</f>
        <v>NA</v>
      </c>
    </row>
    <row r="19" spans="2:5" ht="18.75" customHeight="1">
      <c r="B19" s="106">
        <f t="shared" si="0"/>
        <v>260</v>
      </c>
      <c r="C19" s="56">
        <f>+'Work Report Consultant'!K53</f>
        <v>13</v>
      </c>
      <c r="D19" s="54" t="str">
        <f>+'Work Report Consultant'!L53</f>
        <v>N/A</v>
      </c>
      <c r="E19" s="55" t="str">
        <f>+'Work Report Consultant'!AC53</f>
        <v>NA</v>
      </c>
    </row>
    <row r="20" spans="2:5" ht="18.75" customHeight="1">
      <c r="B20" s="106">
        <f t="shared" si="0"/>
        <v>261</v>
      </c>
      <c r="C20" s="56">
        <f>+'Work Report Consultant'!K54</f>
        <v>14</v>
      </c>
      <c r="D20" s="54" t="str">
        <f>+'Work Report Consultant'!L54</f>
        <v>N/A</v>
      </c>
      <c r="E20" s="55" t="str">
        <f>+'Work Report Consultant'!AC54</f>
        <v>NA</v>
      </c>
    </row>
    <row r="21" spans="2:5" ht="18.75" customHeight="1">
      <c r="B21" s="106">
        <f t="shared" si="0"/>
        <v>262</v>
      </c>
      <c r="C21" s="56">
        <f>+'Work Report Consultant'!K55</f>
        <v>15</v>
      </c>
      <c r="D21" s="54" t="str">
        <f>+'Work Report Consultant'!L55</f>
        <v>N/A</v>
      </c>
      <c r="E21" s="55" t="str">
        <f>+'Work Report Consultant'!AC55</f>
        <v>NA</v>
      </c>
    </row>
    <row r="22" spans="2:5" ht="18.75" customHeight="1">
      <c r="B22" s="106">
        <f t="shared" si="0"/>
        <v>263</v>
      </c>
      <c r="C22" s="56">
        <f>+'Work Report Consultant'!K56</f>
        <v>16</v>
      </c>
      <c r="D22" s="54" t="str">
        <f>+'Work Report Consultant'!L56</f>
        <v>N/A</v>
      </c>
      <c r="E22" s="55" t="str">
        <f>+'Work Report Consultant'!AC56</f>
        <v>NA</v>
      </c>
    </row>
    <row r="23" spans="2:5" ht="18.75" customHeight="1">
      <c r="B23" s="106">
        <f t="shared" si="0"/>
        <v>264</v>
      </c>
      <c r="C23" s="56">
        <f>+'Work Report Consultant'!K57</f>
        <v>17</v>
      </c>
      <c r="D23" s="54" t="str">
        <f>+'Work Report Consultant'!L57</f>
        <v>N/A</v>
      </c>
      <c r="E23" s="55" t="str">
        <f>+'Work Report Consultant'!AC57</f>
        <v>NA</v>
      </c>
    </row>
    <row r="24" spans="2:5" ht="18.75" customHeight="1">
      <c r="B24" s="106">
        <f t="shared" si="0"/>
        <v>265</v>
      </c>
      <c r="C24" s="56">
        <f>+'Work Report Consultant'!K58</f>
        <v>18</v>
      </c>
      <c r="D24" s="54" t="str">
        <f>+'Work Report Consultant'!L58</f>
        <v>N/A</v>
      </c>
      <c r="E24" s="55" t="str">
        <f>+'Work Report Consultant'!AC58</f>
        <v>NA</v>
      </c>
    </row>
    <row r="25" spans="2:5" ht="18.75" customHeight="1">
      <c r="B25" s="106">
        <f t="shared" si="0"/>
        <v>266</v>
      </c>
      <c r="C25" s="56">
        <f>+'Work Report Consultant'!K59</f>
        <v>19</v>
      </c>
      <c r="D25" s="54" t="str">
        <f>+'Work Report Consultant'!L59</f>
        <v>N/A</v>
      </c>
      <c r="E25" s="55" t="str">
        <f>+'Work Report Consultant'!AC59</f>
        <v>NA</v>
      </c>
    </row>
    <row r="26" spans="2:5" ht="18.75" customHeight="1">
      <c r="B26" s="106">
        <f t="shared" si="0"/>
        <v>267</v>
      </c>
      <c r="C26" s="56">
        <f>+'Work Report Consultant'!K60</f>
        <v>20</v>
      </c>
      <c r="D26" s="54" t="str">
        <f>+'Work Report Consultant'!L60</f>
        <v>N/A</v>
      </c>
      <c r="E26" s="55" t="str">
        <f>+'Work Report Consultant'!AC60</f>
        <v>NA</v>
      </c>
    </row>
    <row r="27" spans="2:5" ht="18.75" customHeight="1">
      <c r="B27" s="106">
        <f t="shared" si="0"/>
        <v>268</v>
      </c>
      <c r="C27" s="56">
        <f>+'Work Report Consultant'!K61</f>
        <v>21</v>
      </c>
      <c r="D27" s="54" t="str">
        <f>+'Work Report Consultant'!L61</f>
        <v>N/A</v>
      </c>
      <c r="E27" s="55" t="str">
        <f>+'Work Report Consultant'!AC61</f>
        <v>NA</v>
      </c>
    </row>
    <row r="28" spans="2:5" ht="18.75" customHeight="1">
      <c r="B28" s="106">
        <f t="shared" si="0"/>
        <v>269</v>
      </c>
      <c r="C28" s="56">
        <f>+'Work Report Consultant'!K62</f>
        <v>22</v>
      </c>
      <c r="D28" s="54" t="str">
        <f>+'Work Report Consultant'!L62</f>
        <v>N/A</v>
      </c>
      <c r="E28" s="55" t="str">
        <f>+'Work Report Consultant'!AC62</f>
        <v>NA</v>
      </c>
    </row>
    <row r="29" spans="2:5" ht="18.75" customHeight="1">
      <c r="B29" s="106">
        <f t="shared" si="0"/>
        <v>270</v>
      </c>
      <c r="C29" s="56">
        <f>+'Work Report Consultant'!K63</f>
        <v>23</v>
      </c>
      <c r="D29" s="54" t="str">
        <f>+'Work Report Consultant'!L63</f>
        <v>N/A</v>
      </c>
      <c r="E29" s="55" t="str">
        <f>+'Work Report Consultant'!AC63</f>
        <v>NA</v>
      </c>
    </row>
    <row r="30" spans="2:5" ht="18.75" customHeight="1">
      <c r="B30" s="106">
        <f t="shared" si="0"/>
        <v>271</v>
      </c>
      <c r="C30" s="56">
        <f>+'Work Report Consultant'!K64</f>
        <v>24</v>
      </c>
      <c r="D30" s="54" t="str">
        <f>+'Work Report Consultant'!L64</f>
        <v>N/A</v>
      </c>
      <c r="E30" s="55" t="str">
        <f>+'Work Report Consultant'!AC64</f>
        <v>NA</v>
      </c>
    </row>
    <row r="31" spans="2:5" ht="18.75" customHeight="1">
      <c r="B31" s="106">
        <f t="shared" si="0"/>
        <v>272</v>
      </c>
      <c r="C31" s="56">
        <f>+'Work Report Consultant'!K65</f>
        <v>25</v>
      </c>
      <c r="D31" s="54" t="str">
        <f>+'Work Report Consultant'!L65</f>
        <v>N/A</v>
      </c>
      <c r="E31" s="55" t="str">
        <f>+'Work Report Consultant'!AC65</f>
        <v>NA</v>
      </c>
    </row>
    <row r="32" spans="2:5" ht="18.75" customHeight="1">
      <c r="B32" s="106">
        <f t="shared" si="0"/>
        <v>273</v>
      </c>
      <c r="C32" s="56">
        <f>+'Work Report Consultant'!K66</f>
        <v>26</v>
      </c>
      <c r="D32" s="54" t="str">
        <f>+'Work Report Consultant'!L66</f>
        <v>N/A</v>
      </c>
      <c r="E32" s="55" t="str">
        <f>+'Work Report Consultant'!AC66</f>
        <v>NA</v>
      </c>
    </row>
    <row r="33" spans="2:7" ht="18.75" customHeight="1">
      <c r="B33" s="106">
        <f t="shared" si="0"/>
        <v>274</v>
      </c>
      <c r="C33" s="56">
        <f>+'Work Report Consultant'!K67</f>
        <v>27</v>
      </c>
      <c r="D33" s="54" t="str">
        <f>+'Work Report Consultant'!L67</f>
        <v>N/A</v>
      </c>
      <c r="E33" s="55" t="str">
        <f>+'Work Report Consultant'!AC67</f>
        <v>NA</v>
      </c>
    </row>
    <row r="34" spans="2:7" ht="18.75" customHeight="1">
      <c r="B34" s="106">
        <f t="shared" si="0"/>
        <v>275</v>
      </c>
      <c r="C34" s="56">
        <f>+'Work Report Consultant'!K68</f>
        <v>28</v>
      </c>
      <c r="D34" s="54" t="str">
        <f>+'Work Report Consultant'!L68</f>
        <v>N/A</v>
      </c>
      <c r="E34" s="55" t="str">
        <f>+'Work Report Consultant'!AC68</f>
        <v>NA</v>
      </c>
    </row>
    <row r="35" spans="2:7" ht="18.75" customHeight="1">
      <c r="B35" s="106">
        <f t="shared" si="0"/>
        <v>276</v>
      </c>
      <c r="C35" s="56">
        <f>+'Work Report Consultant'!K69</f>
        <v>29</v>
      </c>
      <c r="D35" s="54" t="str">
        <f>+'Work Report Consultant'!L69</f>
        <v>N/A</v>
      </c>
      <c r="E35" s="55" t="str">
        <f>+'Work Report Consultant'!AC69</f>
        <v>NA</v>
      </c>
    </row>
    <row r="36" spans="2:7" ht="18.75" customHeight="1">
      <c r="B36" s="106">
        <f t="shared" si="0"/>
        <v>277</v>
      </c>
      <c r="C36" s="56">
        <f>+'Work Report Consultant'!K70</f>
        <v>30</v>
      </c>
      <c r="D36" s="54" t="str">
        <f>+'Work Report Consultant'!L70</f>
        <v>N/A</v>
      </c>
      <c r="E36" s="55" t="str">
        <f>+'Work Report Consultant'!AC70</f>
        <v>NA</v>
      </c>
    </row>
    <row r="37" spans="2:7" ht="18.75" customHeight="1"/>
    <row r="38" spans="2:7" ht="18.75" customHeight="1" thickBot="1"/>
    <row r="39" spans="2:7" ht="23.25" customHeight="1" thickBot="1">
      <c r="B39" s="71" t="s">
        <v>46</v>
      </c>
      <c r="C39" s="58"/>
      <c r="D39" s="57"/>
      <c r="E39" s="59">
        <f>SUM(E7:E37)</f>
        <v>0</v>
      </c>
      <c r="F39" s="73" t="s">
        <v>49</v>
      </c>
      <c r="G39" s="72"/>
    </row>
    <row r="42" spans="2:7">
      <c r="B42" s="110" t="s">
        <v>69</v>
      </c>
      <c r="C42" s="111"/>
      <c r="D42" s="112"/>
      <c r="E42" s="113"/>
      <c r="F42" s="112"/>
      <c r="G42" s="114"/>
    </row>
    <row r="43" spans="2:7">
      <c r="B43" s="123"/>
      <c r="G43" s="116"/>
    </row>
    <row r="44" spans="2:7">
      <c r="B44" s="117" t="s">
        <v>59</v>
      </c>
      <c r="D44" s="63" t="s">
        <v>64</v>
      </c>
      <c r="E44" s="107" t="s">
        <v>62</v>
      </c>
      <c r="F44" s="107" t="s">
        <v>83</v>
      </c>
      <c r="G44" s="116"/>
    </row>
    <row r="45" spans="2:7">
      <c r="B45" s="115" t="s">
        <v>60</v>
      </c>
      <c r="D45" s="54" t="s">
        <v>61</v>
      </c>
      <c r="E45" s="56" t="s">
        <v>63</v>
      </c>
      <c r="F45" s="56" t="s">
        <v>63</v>
      </c>
      <c r="G45" s="116"/>
    </row>
    <row r="46" spans="2:7">
      <c r="B46" s="115" t="s">
        <v>60</v>
      </c>
      <c r="D46" s="54" t="s">
        <v>61</v>
      </c>
      <c r="E46" s="56" t="s">
        <v>63</v>
      </c>
      <c r="F46" s="56" t="s">
        <v>63</v>
      </c>
      <c r="G46" s="116"/>
    </row>
    <row r="47" spans="2:7">
      <c r="B47" s="115" t="s">
        <v>60</v>
      </c>
      <c r="D47" s="54" t="s">
        <v>61</v>
      </c>
      <c r="E47" s="56" t="s">
        <v>63</v>
      </c>
      <c r="F47" s="56" t="s">
        <v>63</v>
      </c>
      <c r="G47" s="116"/>
    </row>
    <row r="48" spans="2:7">
      <c r="B48" s="115" t="s">
        <v>60</v>
      </c>
      <c r="D48" s="54" t="s">
        <v>61</v>
      </c>
      <c r="E48" s="56" t="s">
        <v>63</v>
      </c>
      <c r="F48" s="56" t="s">
        <v>63</v>
      </c>
      <c r="G48" s="116"/>
    </row>
    <row r="49" spans="2:7">
      <c r="B49" s="115" t="s">
        <v>60</v>
      </c>
      <c r="D49" s="54" t="s">
        <v>61</v>
      </c>
      <c r="E49" s="56" t="s">
        <v>63</v>
      </c>
      <c r="F49" s="56" t="s">
        <v>63</v>
      </c>
      <c r="G49" s="116"/>
    </row>
    <row r="50" spans="2:7">
      <c r="B50" s="115" t="s">
        <v>60</v>
      </c>
      <c r="D50" s="54" t="s">
        <v>61</v>
      </c>
      <c r="E50" s="56" t="s">
        <v>63</v>
      </c>
      <c r="F50" s="56" t="s">
        <v>63</v>
      </c>
      <c r="G50" s="116"/>
    </row>
    <row r="51" spans="2:7">
      <c r="B51" s="115" t="s">
        <v>60</v>
      </c>
      <c r="D51" s="54" t="s">
        <v>61</v>
      </c>
      <c r="E51" s="56" t="s">
        <v>63</v>
      </c>
      <c r="F51" s="56" t="s">
        <v>63</v>
      </c>
      <c r="G51" s="116"/>
    </row>
    <row r="52" spans="2:7">
      <c r="B52" s="115"/>
      <c r="G52" s="116"/>
    </row>
    <row r="53" spans="2:7">
      <c r="B53" s="122" t="s">
        <v>68</v>
      </c>
      <c r="G53" s="116"/>
    </row>
    <row r="54" spans="2:7">
      <c r="B54" s="121" t="s">
        <v>65</v>
      </c>
      <c r="G54" s="116"/>
    </row>
    <row r="55" spans="2:7">
      <c r="B55" s="121" t="s">
        <v>66</v>
      </c>
      <c r="G55" s="116"/>
    </row>
    <row r="56" spans="2:7">
      <c r="B56" s="120"/>
      <c r="C56" s="109"/>
      <c r="D56" s="62"/>
      <c r="E56" s="118"/>
      <c r="F56" s="62"/>
      <c r="G56" s="119"/>
    </row>
    <row r="57" spans="2:7" ht="37.5" customHeight="1">
      <c r="B57" s="63" t="s">
        <v>47</v>
      </c>
      <c r="E57" s="56"/>
      <c r="F57" s="62"/>
      <c r="G57" s="62"/>
    </row>
    <row r="58" spans="2:7">
      <c r="E58" s="56"/>
    </row>
    <row r="59" spans="2:7" ht="30.75" customHeight="1">
      <c r="B59" s="54" t="s">
        <v>56</v>
      </c>
      <c r="E59" s="56"/>
      <c r="F59" s="54" t="s">
        <v>57</v>
      </c>
    </row>
    <row r="60" spans="2:7" ht="36" customHeight="1">
      <c r="B60" s="64" t="s">
        <v>58</v>
      </c>
      <c r="E60" s="56"/>
      <c r="F60" s="62"/>
      <c r="G60" s="62"/>
    </row>
  </sheetData>
  <pageMargins left="0.70866141732283472" right="0.31496062992125984" top="0.74803149606299213" bottom="0.35433070866141736" header="0.31496062992125984" footer="0.31496062992125984"/>
  <pageSetup paperSize="9" scale="7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B2:G60"/>
  <sheetViews>
    <sheetView showGridLines="0" showRowColHeaders="0" zoomScale="50" zoomScaleNormal="50" workbookViewId="0">
      <selection activeCell="G2" sqref="G2"/>
    </sheetView>
  </sheetViews>
  <sheetFormatPr defaultColWidth="8.88671875" defaultRowHeight="15"/>
  <cols>
    <col min="1" max="1" width="8.88671875" style="54"/>
    <col min="2" max="2" width="11.5546875" style="54" customWidth="1"/>
    <col min="3" max="3" width="6.21875" style="56" customWidth="1"/>
    <col min="4" max="4" width="16.6640625" style="54" bestFit="1" customWidth="1"/>
    <col min="5" max="5" width="14.77734375" style="55" customWidth="1"/>
    <col min="6" max="6" width="10.77734375" style="54" customWidth="1"/>
    <col min="7" max="7" width="36.77734375" style="54" customWidth="1"/>
    <col min="8" max="16384" width="8.88671875" style="54"/>
  </cols>
  <sheetData>
    <row r="2" spans="2:7" ht="26.25" customHeight="1">
      <c r="B2" s="65" t="str">
        <f>+'Work Report Consultant'!B2</f>
        <v>Consultant work report 2026</v>
      </c>
      <c r="C2" s="66"/>
      <c r="D2" s="67"/>
      <c r="E2" s="68"/>
      <c r="G2" s="132" t="s">
        <v>91</v>
      </c>
    </row>
    <row r="3" spans="2:7" ht="27.75" customHeight="1">
      <c r="B3" s="69" t="str">
        <f>+'Work Report Consultant'!B3</f>
        <v>Name:</v>
      </c>
      <c r="C3" s="70" t="str">
        <f>+'Work Report Consultant'!E3</f>
        <v>Jorge Benito Sanabrias</v>
      </c>
      <c r="D3" s="67"/>
      <c r="E3" s="68"/>
      <c r="F3" s="67"/>
    </row>
    <row r="4" spans="2:7" ht="24.75" customHeight="1">
      <c r="B4" s="69">
        <f>+'Work Report Consultant'!P3</f>
        <v>0</v>
      </c>
      <c r="C4" s="70" t="str">
        <f>+'Work Report Consultant'!R3</f>
        <v>Anzen Engineering Switzerland</v>
      </c>
      <c r="D4" s="67"/>
      <c r="E4" s="68"/>
      <c r="F4" s="67"/>
    </row>
    <row r="5" spans="2:7" ht="15.75" thickBot="1"/>
    <row r="6" spans="2:7" ht="21.75" customHeight="1" thickBot="1">
      <c r="B6" s="76" t="str">
        <f>+'Work Report Consultant'!N40</f>
        <v>OCTOBER</v>
      </c>
      <c r="C6" s="59">
        <f>+'Work Report Consultant'!AV3</f>
        <v>2026</v>
      </c>
      <c r="D6" s="73"/>
      <c r="E6" s="59"/>
      <c r="F6" s="59" t="s">
        <v>48</v>
      </c>
      <c r="G6" s="74"/>
    </row>
    <row r="7" spans="2:7" ht="18.75" customHeight="1">
      <c r="B7" s="106">
        <f>+'Print Sept Summary'!B36+1</f>
        <v>278</v>
      </c>
      <c r="C7" s="56">
        <f>+'Work Report Consultant'!O41</f>
        <v>1</v>
      </c>
      <c r="D7" s="54" t="str">
        <f>+'Work Report Consultant'!P41</f>
        <v>N/A</v>
      </c>
      <c r="E7" s="55" t="str">
        <f>+'Work Report Consultant'!AD41</f>
        <v>NA</v>
      </c>
    </row>
    <row r="8" spans="2:7" ht="18.75" customHeight="1">
      <c r="B8" s="106">
        <f>+B7+1</f>
        <v>279</v>
      </c>
      <c r="C8" s="56">
        <f>+'Work Report Consultant'!O42</f>
        <v>2</v>
      </c>
      <c r="D8" s="54" t="str">
        <f>+'Work Report Consultant'!P42</f>
        <v>N/A</v>
      </c>
      <c r="E8" s="55" t="str">
        <f>+'Work Report Consultant'!AD42</f>
        <v>NA</v>
      </c>
    </row>
    <row r="9" spans="2:7" ht="18.75" customHeight="1">
      <c r="B9" s="106">
        <f t="shared" ref="B9:B37" si="0">+B8+1</f>
        <v>280</v>
      </c>
      <c r="C9" s="56">
        <f>+'Work Report Consultant'!O43</f>
        <v>3</v>
      </c>
      <c r="D9" s="54" t="str">
        <f>+'Work Report Consultant'!P43</f>
        <v>N/A</v>
      </c>
      <c r="E9" s="55" t="str">
        <f>+'Work Report Consultant'!AD43</f>
        <v>NA</v>
      </c>
    </row>
    <row r="10" spans="2:7" ht="18.75" customHeight="1">
      <c r="B10" s="106">
        <f t="shared" si="0"/>
        <v>281</v>
      </c>
      <c r="C10" s="56">
        <f>+'Work Report Consultant'!O44</f>
        <v>4</v>
      </c>
      <c r="D10" s="54" t="str">
        <f>+'Work Report Consultant'!P44</f>
        <v>N/A</v>
      </c>
      <c r="E10" s="55" t="str">
        <f>+'Work Report Consultant'!AD44</f>
        <v>NA</v>
      </c>
    </row>
    <row r="11" spans="2:7" ht="18.75" customHeight="1">
      <c r="B11" s="106">
        <f t="shared" si="0"/>
        <v>282</v>
      </c>
      <c r="C11" s="56">
        <f>+'Work Report Consultant'!O45</f>
        <v>5</v>
      </c>
      <c r="D11" s="54" t="str">
        <f>+'Work Report Consultant'!P45</f>
        <v>N/A</v>
      </c>
      <c r="E11" s="55" t="str">
        <f>+'Work Report Consultant'!AD45</f>
        <v>NA</v>
      </c>
    </row>
    <row r="12" spans="2:7" ht="18.75" customHeight="1">
      <c r="B12" s="106">
        <f t="shared" si="0"/>
        <v>283</v>
      </c>
      <c r="C12" s="56">
        <f>+'Work Report Consultant'!O46</f>
        <v>6</v>
      </c>
      <c r="D12" s="54" t="str">
        <f>+'Work Report Consultant'!P46</f>
        <v>N/A</v>
      </c>
      <c r="E12" s="55" t="str">
        <f>+'Work Report Consultant'!AD46</f>
        <v>NA</v>
      </c>
    </row>
    <row r="13" spans="2:7" ht="18.75" customHeight="1">
      <c r="B13" s="106">
        <f t="shared" si="0"/>
        <v>284</v>
      </c>
      <c r="C13" s="56">
        <f>+'Work Report Consultant'!O47</f>
        <v>7</v>
      </c>
      <c r="D13" s="54" t="str">
        <f>+'Work Report Consultant'!P47</f>
        <v>N/A</v>
      </c>
      <c r="E13" s="55" t="str">
        <f>+'Work Report Consultant'!AD47</f>
        <v>NA</v>
      </c>
    </row>
    <row r="14" spans="2:7" ht="18.75" customHeight="1">
      <c r="B14" s="106">
        <f t="shared" si="0"/>
        <v>285</v>
      </c>
      <c r="C14" s="56">
        <f>+'Work Report Consultant'!O48</f>
        <v>8</v>
      </c>
      <c r="D14" s="54" t="str">
        <f>+'Work Report Consultant'!P48</f>
        <v>N/A</v>
      </c>
      <c r="E14" s="55" t="str">
        <f>+'Work Report Consultant'!AD48</f>
        <v>NA</v>
      </c>
    </row>
    <row r="15" spans="2:7" ht="18.75" customHeight="1">
      <c r="B15" s="106">
        <f t="shared" si="0"/>
        <v>286</v>
      </c>
      <c r="C15" s="56">
        <f>+'Work Report Consultant'!O49</f>
        <v>9</v>
      </c>
      <c r="D15" s="54" t="str">
        <f>+'Work Report Consultant'!P49</f>
        <v>N/A</v>
      </c>
      <c r="E15" s="55" t="str">
        <f>+'Work Report Consultant'!AD49</f>
        <v>NA</v>
      </c>
    </row>
    <row r="16" spans="2:7" ht="18.75" customHeight="1">
      <c r="B16" s="106">
        <f t="shared" si="0"/>
        <v>287</v>
      </c>
      <c r="C16" s="56">
        <f>+'Work Report Consultant'!O50</f>
        <v>10</v>
      </c>
      <c r="D16" s="54" t="str">
        <f>+'Work Report Consultant'!P50</f>
        <v>N/A</v>
      </c>
      <c r="E16" s="55" t="str">
        <f>+'Work Report Consultant'!AD50</f>
        <v>NA</v>
      </c>
    </row>
    <row r="17" spans="2:5" ht="18.75" customHeight="1">
      <c r="B17" s="106">
        <f t="shared" si="0"/>
        <v>288</v>
      </c>
      <c r="C17" s="56">
        <f>+'Work Report Consultant'!O51</f>
        <v>11</v>
      </c>
      <c r="D17" s="54" t="str">
        <f>+'Work Report Consultant'!P51</f>
        <v>N/A</v>
      </c>
      <c r="E17" s="55" t="str">
        <f>+'Work Report Consultant'!AD51</f>
        <v>NA</v>
      </c>
    </row>
    <row r="18" spans="2:5" ht="18.75" customHeight="1">
      <c r="B18" s="106">
        <f t="shared" si="0"/>
        <v>289</v>
      </c>
      <c r="C18" s="56">
        <f>+'Work Report Consultant'!O52</f>
        <v>12</v>
      </c>
      <c r="D18" s="54" t="str">
        <f>+'Work Report Consultant'!P52</f>
        <v>N/A</v>
      </c>
      <c r="E18" s="55" t="str">
        <f>+'Work Report Consultant'!AD52</f>
        <v>NA</v>
      </c>
    </row>
    <row r="19" spans="2:5" ht="18.75" customHeight="1">
      <c r="B19" s="106">
        <f t="shared" si="0"/>
        <v>290</v>
      </c>
      <c r="C19" s="56">
        <f>+'Work Report Consultant'!O53</f>
        <v>13</v>
      </c>
      <c r="D19" s="54" t="str">
        <f>+'Work Report Consultant'!P53</f>
        <v>N/A</v>
      </c>
      <c r="E19" s="55" t="str">
        <f>+'Work Report Consultant'!AD53</f>
        <v>NA</v>
      </c>
    </row>
    <row r="20" spans="2:5" ht="18.75" customHeight="1">
      <c r="B20" s="106">
        <f t="shared" si="0"/>
        <v>291</v>
      </c>
      <c r="C20" s="56">
        <f>+'Work Report Consultant'!O54</f>
        <v>14</v>
      </c>
      <c r="D20" s="54" t="str">
        <f>+'Work Report Consultant'!P54</f>
        <v>N/A</v>
      </c>
      <c r="E20" s="55" t="str">
        <f>+'Work Report Consultant'!AD54</f>
        <v>NA</v>
      </c>
    </row>
    <row r="21" spans="2:5" ht="18.75" customHeight="1">
      <c r="B21" s="106">
        <f t="shared" si="0"/>
        <v>292</v>
      </c>
      <c r="C21" s="56">
        <f>+'Work Report Consultant'!O55</f>
        <v>15</v>
      </c>
      <c r="D21" s="54" t="str">
        <f>+'Work Report Consultant'!P55</f>
        <v>N/A</v>
      </c>
      <c r="E21" s="55" t="str">
        <f>+'Work Report Consultant'!AD55</f>
        <v>NA</v>
      </c>
    </row>
    <row r="22" spans="2:5" ht="18.75" customHeight="1">
      <c r="B22" s="106">
        <f t="shared" si="0"/>
        <v>293</v>
      </c>
      <c r="C22" s="56">
        <f>+'Work Report Consultant'!O56</f>
        <v>16</v>
      </c>
      <c r="D22" s="54" t="str">
        <f>+'Work Report Consultant'!P56</f>
        <v>N/A</v>
      </c>
      <c r="E22" s="55" t="str">
        <f>+'Work Report Consultant'!AD56</f>
        <v>NA</v>
      </c>
    </row>
    <row r="23" spans="2:5" ht="18.75" customHeight="1">
      <c r="B23" s="106">
        <f t="shared" si="0"/>
        <v>294</v>
      </c>
      <c r="C23" s="56">
        <f>+'Work Report Consultant'!O57</f>
        <v>17</v>
      </c>
      <c r="D23" s="54" t="str">
        <f>+'Work Report Consultant'!P57</f>
        <v>N/A</v>
      </c>
      <c r="E23" s="55" t="str">
        <f>+'Work Report Consultant'!AD57</f>
        <v>NA</v>
      </c>
    </row>
    <row r="24" spans="2:5" ht="18.75" customHeight="1">
      <c r="B24" s="106">
        <f t="shared" si="0"/>
        <v>295</v>
      </c>
      <c r="C24" s="56">
        <f>+'Work Report Consultant'!O58</f>
        <v>18</v>
      </c>
      <c r="D24" s="54" t="str">
        <f>+'Work Report Consultant'!P58</f>
        <v>N/A</v>
      </c>
      <c r="E24" s="55" t="str">
        <f>+'Work Report Consultant'!AD58</f>
        <v>NA</v>
      </c>
    </row>
    <row r="25" spans="2:5" ht="18.75" customHeight="1">
      <c r="B25" s="106">
        <f t="shared" si="0"/>
        <v>296</v>
      </c>
      <c r="C25" s="56">
        <f>+'Work Report Consultant'!O59</f>
        <v>19</v>
      </c>
      <c r="D25" s="54" t="str">
        <f>+'Work Report Consultant'!P59</f>
        <v>N/A</v>
      </c>
      <c r="E25" s="55" t="str">
        <f>+'Work Report Consultant'!AD59</f>
        <v>NA</v>
      </c>
    </row>
    <row r="26" spans="2:5" ht="18.75" customHeight="1">
      <c r="B26" s="106">
        <f t="shared" si="0"/>
        <v>297</v>
      </c>
      <c r="C26" s="56">
        <f>+'Work Report Consultant'!O60</f>
        <v>20</v>
      </c>
      <c r="D26" s="54" t="str">
        <f>+'Work Report Consultant'!P60</f>
        <v>N/A</v>
      </c>
      <c r="E26" s="55" t="str">
        <f>+'Work Report Consultant'!AD60</f>
        <v>NA</v>
      </c>
    </row>
    <row r="27" spans="2:5" ht="18.75" customHeight="1">
      <c r="B27" s="106">
        <f t="shared" si="0"/>
        <v>298</v>
      </c>
      <c r="C27" s="56">
        <f>+'Work Report Consultant'!O61</f>
        <v>21</v>
      </c>
      <c r="D27" s="54" t="str">
        <f>+'Work Report Consultant'!P61</f>
        <v>N/A</v>
      </c>
      <c r="E27" s="55" t="str">
        <f>+'Work Report Consultant'!AD61</f>
        <v>NA</v>
      </c>
    </row>
    <row r="28" spans="2:5" ht="18.75" customHeight="1">
      <c r="B28" s="106">
        <f t="shared" si="0"/>
        <v>299</v>
      </c>
      <c r="C28" s="56">
        <f>+'Work Report Consultant'!O62</f>
        <v>22</v>
      </c>
      <c r="D28" s="54" t="str">
        <f>+'Work Report Consultant'!P62</f>
        <v>N/A</v>
      </c>
      <c r="E28" s="55" t="str">
        <f>+'Work Report Consultant'!AD62</f>
        <v>NA</v>
      </c>
    </row>
    <row r="29" spans="2:5" ht="18.75" customHeight="1">
      <c r="B29" s="106">
        <f t="shared" si="0"/>
        <v>300</v>
      </c>
      <c r="C29" s="56">
        <f>+'Work Report Consultant'!O63</f>
        <v>23</v>
      </c>
      <c r="D29" s="54" t="str">
        <f>+'Work Report Consultant'!P63</f>
        <v>N/A</v>
      </c>
      <c r="E29" s="55" t="str">
        <f>+'Work Report Consultant'!AD63</f>
        <v>NA</v>
      </c>
    </row>
    <row r="30" spans="2:5" ht="18.75" customHeight="1">
      <c r="B30" s="106">
        <f t="shared" si="0"/>
        <v>301</v>
      </c>
      <c r="C30" s="56">
        <f>+'Work Report Consultant'!O64</f>
        <v>24</v>
      </c>
      <c r="D30" s="54" t="str">
        <f>+'Work Report Consultant'!P64</f>
        <v>N/A</v>
      </c>
      <c r="E30" s="55" t="str">
        <f>+'Work Report Consultant'!AD64</f>
        <v>NA</v>
      </c>
    </row>
    <row r="31" spans="2:5" ht="18.75" customHeight="1">
      <c r="B31" s="106">
        <f t="shared" si="0"/>
        <v>302</v>
      </c>
      <c r="C31" s="56">
        <f>+'Work Report Consultant'!O65</f>
        <v>25</v>
      </c>
      <c r="D31" s="54" t="str">
        <f>+'Work Report Consultant'!P65</f>
        <v>N/A</v>
      </c>
      <c r="E31" s="55" t="str">
        <f>+'Work Report Consultant'!AD65</f>
        <v>NA</v>
      </c>
    </row>
    <row r="32" spans="2:5" ht="18.75" customHeight="1">
      <c r="B32" s="106">
        <f t="shared" si="0"/>
        <v>303</v>
      </c>
      <c r="C32" s="56">
        <f>+'Work Report Consultant'!O66</f>
        <v>26</v>
      </c>
      <c r="D32" s="54" t="str">
        <f>+'Work Report Consultant'!P66</f>
        <v>N/A</v>
      </c>
      <c r="E32" s="55" t="str">
        <f>+'Work Report Consultant'!AD66</f>
        <v>NA</v>
      </c>
    </row>
    <row r="33" spans="2:7" ht="18.75" customHeight="1">
      <c r="B33" s="106">
        <f t="shared" si="0"/>
        <v>304</v>
      </c>
      <c r="C33" s="56">
        <f>+'Work Report Consultant'!O67</f>
        <v>27</v>
      </c>
      <c r="D33" s="54" t="str">
        <f>+'Work Report Consultant'!P67</f>
        <v>N/A</v>
      </c>
      <c r="E33" s="55" t="str">
        <f>+'Work Report Consultant'!AD67</f>
        <v>NA</v>
      </c>
    </row>
    <row r="34" spans="2:7" ht="18.75" customHeight="1">
      <c r="B34" s="106">
        <f t="shared" si="0"/>
        <v>305</v>
      </c>
      <c r="C34" s="56">
        <f>+'Work Report Consultant'!O68</f>
        <v>28</v>
      </c>
      <c r="D34" s="54" t="str">
        <f>+'Work Report Consultant'!P68</f>
        <v>N/A</v>
      </c>
      <c r="E34" s="55" t="str">
        <f>+'Work Report Consultant'!AD68</f>
        <v>NA</v>
      </c>
    </row>
    <row r="35" spans="2:7" ht="18.75" customHeight="1">
      <c r="B35" s="106">
        <f t="shared" si="0"/>
        <v>306</v>
      </c>
      <c r="C35" s="56">
        <f>+'Work Report Consultant'!O69</f>
        <v>29</v>
      </c>
      <c r="D35" s="54" t="str">
        <f>+'Work Report Consultant'!P69</f>
        <v>N/A</v>
      </c>
      <c r="E35" s="55" t="str">
        <f>+'Work Report Consultant'!AD69</f>
        <v>NA</v>
      </c>
    </row>
    <row r="36" spans="2:7" ht="18.75" customHeight="1">
      <c r="B36" s="106">
        <f t="shared" si="0"/>
        <v>307</v>
      </c>
      <c r="C36" s="56">
        <f>+'Work Report Consultant'!O70</f>
        <v>30</v>
      </c>
      <c r="D36" s="54" t="str">
        <f>+'Work Report Consultant'!P70</f>
        <v>N/A</v>
      </c>
      <c r="E36" s="55" t="str">
        <f>+'Work Report Consultant'!AD70</f>
        <v>NA</v>
      </c>
    </row>
    <row r="37" spans="2:7" ht="18.75" customHeight="1">
      <c r="B37" s="106">
        <f t="shared" si="0"/>
        <v>308</v>
      </c>
      <c r="C37" s="56">
        <f>+'Work Report Consultant'!O71</f>
        <v>31</v>
      </c>
      <c r="D37" s="54" t="str">
        <f>+'Work Report Consultant'!P71</f>
        <v>N/A</v>
      </c>
      <c r="E37" s="55" t="str">
        <f>+'Work Report Consultant'!AD71</f>
        <v>NA</v>
      </c>
    </row>
    <row r="38" spans="2:7" ht="18.75" customHeight="1" thickBot="1"/>
    <row r="39" spans="2:7" ht="23.25" customHeight="1" thickBot="1">
      <c r="B39" s="71" t="s">
        <v>46</v>
      </c>
      <c r="C39" s="58"/>
      <c r="D39" s="57"/>
      <c r="E39" s="59">
        <f>SUM(E7:E37)</f>
        <v>0</v>
      </c>
      <c r="F39" s="73" t="s">
        <v>49</v>
      </c>
      <c r="G39" s="72"/>
    </row>
    <row r="42" spans="2:7">
      <c r="B42" s="110" t="s">
        <v>69</v>
      </c>
      <c r="C42" s="111"/>
      <c r="D42" s="112"/>
      <c r="E42" s="113"/>
      <c r="F42" s="112"/>
      <c r="G42" s="114"/>
    </row>
    <row r="43" spans="2:7">
      <c r="B43" s="123"/>
      <c r="G43" s="116"/>
    </row>
    <row r="44" spans="2:7">
      <c r="B44" s="117" t="s">
        <v>59</v>
      </c>
      <c r="D44" s="133" t="s">
        <v>64</v>
      </c>
      <c r="E44" s="107" t="s">
        <v>62</v>
      </c>
      <c r="F44" s="135" t="s">
        <v>83</v>
      </c>
      <c r="G44" s="137" t="s">
        <v>85</v>
      </c>
    </row>
    <row r="45" spans="2:7">
      <c r="B45" s="115" t="s">
        <v>60</v>
      </c>
      <c r="D45" s="134" t="s">
        <v>61</v>
      </c>
      <c r="E45" s="56" t="s">
        <v>63</v>
      </c>
      <c r="F45" s="136" t="s">
        <v>63</v>
      </c>
      <c r="G45" s="116"/>
    </row>
    <row r="46" spans="2:7">
      <c r="B46" s="115" t="s">
        <v>60</v>
      </c>
      <c r="D46" s="134" t="s">
        <v>61</v>
      </c>
      <c r="E46" s="56" t="s">
        <v>63</v>
      </c>
      <c r="F46" s="136" t="s">
        <v>63</v>
      </c>
      <c r="G46" s="116"/>
    </row>
    <row r="47" spans="2:7">
      <c r="B47" s="115" t="s">
        <v>60</v>
      </c>
      <c r="D47" s="134" t="s">
        <v>61</v>
      </c>
      <c r="E47" s="56" t="s">
        <v>63</v>
      </c>
      <c r="F47" s="136" t="s">
        <v>63</v>
      </c>
      <c r="G47" s="116"/>
    </row>
    <row r="48" spans="2:7">
      <c r="B48" s="115" t="s">
        <v>60</v>
      </c>
      <c r="D48" s="134" t="s">
        <v>61</v>
      </c>
      <c r="E48" s="56" t="s">
        <v>63</v>
      </c>
      <c r="F48" s="136" t="s">
        <v>63</v>
      </c>
      <c r="G48" s="116"/>
    </row>
    <row r="49" spans="2:7">
      <c r="B49" s="115" t="s">
        <v>60</v>
      </c>
      <c r="D49" s="134" t="s">
        <v>61</v>
      </c>
      <c r="E49" s="56" t="s">
        <v>63</v>
      </c>
      <c r="F49" s="136" t="s">
        <v>63</v>
      </c>
      <c r="G49" s="116"/>
    </row>
    <row r="50" spans="2:7">
      <c r="B50" s="115" t="s">
        <v>60</v>
      </c>
      <c r="D50" s="134" t="s">
        <v>61</v>
      </c>
      <c r="E50" s="56" t="s">
        <v>63</v>
      </c>
      <c r="F50" s="136" t="s">
        <v>63</v>
      </c>
      <c r="G50" s="116"/>
    </row>
    <row r="51" spans="2:7">
      <c r="B51" s="115" t="s">
        <v>60</v>
      </c>
      <c r="D51" s="134" t="s">
        <v>61</v>
      </c>
      <c r="E51" s="56" t="s">
        <v>63</v>
      </c>
      <c r="F51" s="136" t="s">
        <v>63</v>
      </c>
      <c r="G51" s="116"/>
    </row>
    <row r="52" spans="2:7">
      <c r="B52" s="115"/>
      <c r="G52" s="116"/>
    </row>
    <row r="53" spans="2:7">
      <c r="B53" s="122" t="s">
        <v>68</v>
      </c>
      <c r="G53" s="116"/>
    </row>
    <row r="54" spans="2:7">
      <c r="B54" s="121" t="s">
        <v>65</v>
      </c>
      <c r="G54" s="116"/>
    </row>
    <row r="55" spans="2:7">
      <c r="B55" s="121" t="s">
        <v>66</v>
      </c>
      <c r="G55" s="116"/>
    </row>
    <row r="56" spans="2:7">
      <c r="B56" s="120"/>
      <c r="C56" s="109"/>
      <c r="D56" s="62"/>
      <c r="E56" s="118"/>
      <c r="F56" s="62"/>
      <c r="G56" s="119"/>
    </row>
    <row r="57" spans="2:7" ht="37.5" customHeight="1">
      <c r="B57" s="63" t="s">
        <v>47</v>
      </c>
      <c r="E57" s="56"/>
      <c r="F57" s="62"/>
      <c r="G57" s="62"/>
    </row>
    <row r="58" spans="2:7">
      <c r="E58" s="56"/>
    </row>
    <row r="59" spans="2:7" ht="30.75" customHeight="1">
      <c r="B59" s="54" t="s">
        <v>56</v>
      </c>
      <c r="E59" s="56"/>
      <c r="F59" s="54" t="s">
        <v>57</v>
      </c>
    </row>
    <row r="60" spans="2:7" ht="36" customHeight="1">
      <c r="B60" s="64" t="s">
        <v>58</v>
      </c>
      <c r="E60" s="56"/>
      <c r="F60" s="62"/>
      <c r="G60" s="62"/>
    </row>
  </sheetData>
  <pageMargins left="0.70866141732283472" right="0.31496062992125984" top="0.74803149606299213" bottom="0.35433070866141736" header="0.31496062992125984" footer="0.31496062992125984"/>
  <pageSetup paperSize="9" scale="72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  <pageSetUpPr fitToPage="1"/>
  </sheetPr>
  <dimension ref="B2:G60"/>
  <sheetViews>
    <sheetView showGridLines="0" showRowColHeaders="0" zoomScale="50" zoomScaleNormal="50" workbookViewId="0">
      <selection activeCell="G2" sqref="G2"/>
    </sheetView>
  </sheetViews>
  <sheetFormatPr defaultColWidth="8.88671875" defaultRowHeight="15"/>
  <cols>
    <col min="1" max="1" width="8.88671875" style="54"/>
    <col min="2" max="2" width="11.5546875" style="54" customWidth="1"/>
    <col min="3" max="3" width="6.21875" style="56" customWidth="1"/>
    <col min="4" max="4" width="16.6640625" style="54" bestFit="1" customWidth="1"/>
    <col min="5" max="5" width="14.77734375" style="55" customWidth="1"/>
    <col min="6" max="6" width="10.77734375" style="54" customWidth="1"/>
    <col min="7" max="7" width="36.77734375" style="54" customWidth="1"/>
    <col min="8" max="16384" width="8.88671875" style="54"/>
  </cols>
  <sheetData>
    <row r="2" spans="2:7" ht="26.25" customHeight="1">
      <c r="B2" s="65" t="str">
        <f>+'Work Report Consultant'!B2</f>
        <v>Consultant work report 2026</v>
      </c>
      <c r="C2" s="66"/>
      <c r="D2" s="67"/>
      <c r="E2" s="68"/>
      <c r="G2" s="132" t="s">
        <v>91</v>
      </c>
    </row>
    <row r="3" spans="2:7" ht="27.75" customHeight="1">
      <c r="B3" s="69" t="str">
        <f>+'Work Report Consultant'!B3</f>
        <v>Name:</v>
      </c>
      <c r="C3" s="70" t="str">
        <f>+'Work Report Consultant'!E3</f>
        <v>Jorge Benito Sanabrias</v>
      </c>
      <c r="D3" s="67"/>
      <c r="E3" s="68"/>
      <c r="F3" s="67"/>
    </row>
    <row r="4" spans="2:7" ht="24.75" customHeight="1">
      <c r="B4" s="69">
        <f>+'Work Report Consultant'!P3</f>
        <v>0</v>
      </c>
      <c r="C4" s="70" t="str">
        <f>+'Work Report Consultant'!R3</f>
        <v>Anzen Engineering Switzerland</v>
      </c>
      <c r="D4" s="67"/>
      <c r="E4" s="68"/>
      <c r="F4" s="67"/>
    </row>
    <row r="5" spans="2:7" ht="15.75" thickBot="1"/>
    <row r="6" spans="2:7" ht="21.75" customHeight="1" thickBot="1">
      <c r="B6" s="76" t="str">
        <f>+'Work Report Consultant'!R40</f>
        <v>NOVEMBER</v>
      </c>
      <c r="C6" s="59">
        <f>+'Work Report Consultant'!AV3</f>
        <v>2026</v>
      </c>
      <c r="D6" s="73"/>
      <c r="E6" s="59"/>
      <c r="F6" s="59" t="s">
        <v>48</v>
      </c>
      <c r="G6" s="74"/>
    </row>
    <row r="7" spans="2:7" ht="18.75" customHeight="1">
      <c r="B7" s="106">
        <f>+'Print Oct Summary'!B37+1</f>
        <v>309</v>
      </c>
      <c r="C7" s="56">
        <f>+'Work Report Consultant'!S41</f>
        <v>1</v>
      </c>
      <c r="D7" s="54" t="str">
        <f>+'Work Report Consultant'!T41</f>
        <v>N/A</v>
      </c>
      <c r="E7" s="55" t="str">
        <f>+'Work Report Consultant'!AE41</f>
        <v>NA</v>
      </c>
    </row>
    <row r="8" spans="2:7" ht="18.75" customHeight="1">
      <c r="B8" s="106">
        <f>+B7+1</f>
        <v>310</v>
      </c>
      <c r="C8" s="56">
        <f>+'Work Report Consultant'!S42</f>
        <v>2</v>
      </c>
      <c r="D8" s="54" t="str">
        <f>+'Work Report Consultant'!T42</f>
        <v>N/A</v>
      </c>
      <c r="E8" s="55" t="str">
        <f>+'Work Report Consultant'!AE42</f>
        <v>NA</v>
      </c>
    </row>
    <row r="9" spans="2:7" ht="18.75" customHeight="1">
      <c r="B9" s="106">
        <f t="shared" ref="B9:B36" si="0">+B8+1</f>
        <v>311</v>
      </c>
      <c r="C9" s="56">
        <f>+'Work Report Consultant'!S43</f>
        <v>3</v>
      </c>
      <c r="D9" s="54" t="str">
        <f>+'Work Report Consultant'!T43</f>
        <v>N/A</v>
      </c>
      <c r="E9" s="55" t="str">
        <f>+'Work Report Consultant'!AE43</f>
        <v>NA</v>
      </c>
    </row>
    <row r="10" spans="2:7" ht="18.75" customHeight="1">
      <c r="B10" s="106">
        <f t="shared" si="0"/>
        <v>312</v>
      </c>
      <c r="C10" s="56">
        <f>+'Work Report Consultant'!S44</f>
        <v>4</v>
      </c>
      <c r="D10" s="54" t="str">
        <f>+'Work Report Consultant'!T44</f>
        <v>N/A</v>
      </c>
      <c r="E10" s="55" t="str">
        <f>+'Work Report Consultant'!AE44</f>
        <v>NA</v>
      </c>
    </row>
    <row r="11" spans="2:7" ht="18.75" customHeight="1">
      <c r="B11" s="106">
        <f t="shared" si="0"/>
        <v>313</v>
      </c>
      <c r="C11" s="56">
        <f>+'Work Report Consultant'!S45</f>
        <v>5</v>
      </c>
      <c r="D11" s="54" t="str">
        <f>+'Work Report Consultant'!T45</f>
        <v>N/A</v>
      </c>
      <c r="E11" s="55" t="str">
        <f>+'Work Report Consultant'!AE45</f>
        <v>NA</v>
      </c>
    </row>
    <row r="12" spans="2:7" ht="18.75" customHeight="1">
      <c r="B12" s="106">
        <f t="shared" si="0"/>
        <v>314</v>
      </c>
      <c r="C12" s="56">
        <f>+'Work Report Consultant'!S46</f>
        <v>6</v>
      </c>
      <c r="D12" s="54" t="str">
        <f>+'Work Report Consultant'!T46</f>
        <v>N/A</v>
      </c>
      <c r="E12" s="55" t="str">
        <f>+'Work Report Consultant'!AE46</f>
        <v>NA</v>
      </c>
    </row>
    <row r="13" spans="2:7" ht="18.75" customHeight="1">
      <c r="B13" s="106">
        <f t="shared" si="0"/>
        <v>315</v>
      </c>
      <c r="C13" s="56">
        <f>+'Work Report Consultant'!S47</f>
        <v>7</v>
      </c>
      <c r="D13" s="54" t="str">
        <f>+'Work Report Consultant'!T47</f>
        <v>N/A</v>
      </c>
      <c r="E13" s="55" t="str">
        <f>+'Work Report Consultant'!AE47</f>
        <v>NA</v>
      </c>
    </row>
    <row r="14" spans="2:7" ht="18.75" customHeight="1">
      <c r="B14" s="106">
        <f t="shared" si="0"/>
        <v>316</v>
      </c>
      <c r="C14" s="56">
        <f>+'Work Report Consultant'!S48</f>
        <v>8</v>
      </c>
      <c r="D14" s="54" t="str">
        <f>+'Work Report Consultant'!T48</f>
        <v>N/A</v>
      </c>
      <c r="E14" s="55" t="str">
        <f>+'Work Report Consultant'!AE48</f>
        <v>NA</v>
      </c>
    </row>
    <row r="15" spans="2:7" ht="18.75" customHeight="1">
      <c r="B15" s="106">
        <f t="shared" si="0"/>
        <v>317</v>
      </c>
      <c r="C15" s="56">
        <f>+'Work Report Consultant'!S49</f>
        <v>9</v>
      </c>
      <c r="D15" s="54" t="str">
        <f>+'Work Report Consultant'!T49</f>
        <v>N/A</v>
      </c>
      <c r="E15" s="55" t="str">
        <f>+'Work Report Consultant'!AE49</f>
        <v>NA</v>
      </c>
    </row>
    <row r="16" spans="2:7" ht="18.75" customHeight="1">
      <c r="B16" s="106">
        <f t="shared" si="0"/>
        <v>318</v>
      </c>
      <c r="C16" s="56">
        <f>+'Work Report Consultant'!S50</f>
        <v>10</v>
      </c>
      <c r="D16" s="54" t="str">
        <f>+'Work Report Consultant'!T50</f>
        <v>N/A</v>
      </c>
      <c r="E16" s="55" t="str">
        <f>+'Work Report Consultant'!AE50</f>
        <v>NA</v>
      </c>
    </row>
    <row r="17" spans="2:5" ht="18.75" customHeight="1">
      <c r="B17" s="106">
        <f t="shared" si="0"/>
        <v>319</v>
      </c>
      <c r="C17" s="56">
        <f>+'Work Report Consultant'!S51</f>
        <v>11</v>
      </c>
      <c r="D17" s="54" t="str">
        <f>+'Work Report Consultant'!T51</f>
        <v>N/A</v>
      </c>
      <c r="E17" s="55" t="str">
        <f>+'Work Report Consultant'!AE51</f>
        <v>NA</v>
      </c>
    </row>
    <row r="18" spans="2:5" ht="18.75" customHeight="1">
      <c r="B18" s="106">
        <f t="shared" si="0"/>
        <v>320</v>
      </c>
      <c r="C18" s="56">
        <f>+'Work Report Consultant'!S52</f>
        <v>12</v>
      </c>
      <c r="D18" s="54" t="str">
        <f>+'Work Report Consultant'!T52</f>
        <v>N/A</v>
      </c>
      <c r="E18" s="55" t="str">
        <f>+'Work Report Consultant'!AE52</f>
        <v>NA</v>
      </c>
    </row>
    <row r="19" spans="2:5" ht="18.75" customHeight="1">
      <c r="B19" s="106">
        <f t="shared" si="0"/>
        <v>321</v>
      </c>
      <c r="C19" s="56">
        <f>+'Work Report Consultant'!S53</f>
        <v>13</v>
      </c>
      <c r="D19" s="54" t="str">
        <f>+'Work Report Consultant'!T53</f>
        <v>N/A</v>
      </c>
      <c r="E19" s="55" t="str">
        <f>+'Work Report Consultant'!AE53</f>
        <v>NA</v>
      </c>
    </row>
    <row r="20" spans="2:5" ht="18.75" customHeight="1">
      <c r="B20" s="106">
        <f t="shared" si="0"/>
        <v>322</v>
      </c>
      <c r="C20" s="56">
        <f>+'Work Report Consultant'!S54</f>
        <v>14</v>
      </c>
      <c r="D20" s="54" t="str">
        <f>+'Work Report Consultant'!T54</f>
        <v>N/A</v>
      </c>
      <c r="E20" s="55" t="str">
        <f>+'Work Report Consultant'!AE54</f>
        <v>NA</v>
      </c>
    </row>
    <row r="21" spans="2:5" ht="18.75" customHeight="1">
      <c r="B21" s="106">
        <f t="shared" si="0"/>
        <v>323</v>
      </c>
      <c r="C21" s="56">
        <f>+'Work Report Consultant'!S55</f>
        <v>15</v>
      </c>
      <c r="D21" s="54" t="str">
        <f>+'Work Report Consultant'!T55</f>
        <v>N/A</v>
      </c>
      <c r="E21" s="55" t="str">
        <f>+'Work Report Consultant'!AE55</f>
        <v>NA</v>
      </c>
    </row>
    <row r="22" spans="2:5" ht="18.75" customHeight="1">
      <c r="B22" s="106">
        <f t="shared" si="0"/>
        <v>324</v>
      </c>
      <c r="C22" s="56">
        <f>+'Work Report Consultant'!S56</f>
        <v>16</v>
      </c>
      <c r="D22" s="54" t="str">
        <f>+'Work Report Consultant'!T56</f>
        <v>N/A</v>
      </c>
      <c r="E22" s="55" t="str">
        <f>+'Work Report Consultant'!AE56</f>
        <v>NA</v>
      </c>
    </row>
    <row r="23" spans="2:5" ht="18.75" customHeight="1">
      <c r="B23" s="106">
        <f t="shared" si="0"/>
        <v>325</v>
      </c>
      <c r="C23" s="56">
        <f>+'Work Report Consultant'!S57</f>
        <v>17</v>
      </c>
      <c r="D23" s="54" t="str">
        <f>+'Work Report Consultant'!T57</f>
        <v>N/A</v>
      </c>
      <c r="E23" s="55" t="str">
        <f>+'Work Report Consultant'!AE57</f>
        <v>NA</v>
      </c>
    </row>
    <row r="24" spans="2:5" ht="18.75" customHeight="1">
      <c r="B24" s="106">
        <f t="shared" si="0"/>
        <v>326</v>
      </c>
      <c r="C24" s="56">
        <f>+'Work Report Consultant'!S58</f>
        <v>18</v>
      </c>
      <c r="D24" s="54" t="str">
        <f>+'Work Report Consultant'!T58</f>
        <v>N/A</v>
      </c>
      <c r="E24" s="55" t="str">
        <f>+'Work Report Consultant'!AE58</f>
        <v>NA</v>
      </c>
    </row>
    <row r="25" spans="2:5" ht="18.75" customHeight="1">
      <c r="B25" s="106">
        <f t="shared" si="0"/>
        <v>327</v>
      </c>
      <c r="C25" s="56">
        <f>+'Work Report Consultant'!S59</f>
        <v>19</v>
      </c>
      <c r="D25" s="54" t="str">
        <f>+'Work Report Consultant'!T59</f>
        <v>N/A</v>
      </c>
      <c r="E25" s="55" t="str">
        <f>+'Work Report Consultant'!AE59</f>
        <v>NA</v>
      </c>
    </row>
    <row r="26" spans="2:5" ht="18.75" customHeight="1">
      <c r="B26" s="106">
        <f t="shared" si="0"/>
        <v>328</v>
      </c>
      <c r="C26" s="56">
        <f>+'Work Report Consultant'!S60</f>
        <v>20</v>
      </c>
      <c r="D26" s="54" t="str">
        <f>+'Work Report Consultant'!T60</f>
        <v>N/A</v>
      </c>
      <c r="E26" s="55" t="str">
        <f>+'Work Report Consultant'!AE60</f>
        <v>NA</v>
      </c>
    </row>
    <row r="27" spans="2:5" ht="18.75" customHeight="1">
      <c r="B27" s="106">
        <f t="shared" si="0"/>
        <v>329</v>
      </c>
      <c r="C27" s="56">
        <f>+'Work Report Consultant'!S61</f>
        <v>21</v>
      </c>
      <c r="D27" s="54" t="str">
        <f>+'Work Report Consultant'!T61</f>
        <v>N/A</v>
      </c>
      <c r="E27" s="55" t="str">
        <f>+'Work Report Consultant'!AE61</f>
        <v>NA</v>
      </c>
    </row>
    <row r="28" spans="2:5" ht="18.75" customHeight="1">
      <c r="B28" s="106">
        <f t="shared" si="0"/>
        <v>330</v>
      </c>
      <c r="C28" s="56">
        <f>+'Work Report Consultant'!S62</f>
        <v>22</v>
      </c>
      <c r="D28" s="54" t="str">
        <f>+'Work Report Consultant'!T62</f>
        <v>N/A</v>
      </c>
      <c r="E28" s="55" t="str">
        <f>+'Work Report Consultant'!AE62</f>
        <v>NA</v>
      </c>
    </row>
    <row r="29" spans="2:5" ht="18.75" customHeight="1">
      <c r="B29" s="106">
        <f t="shared" si="0"/>
        <v>331</v>
      </c>
      <c r="C29" s="56">
        <f>+'Work Report Consultant'!S63</f>
        <v>23</v>
      </c>
      <c r="D29" s="54" t="str">
        <f>+'Work Report Consultant'!T63</f>
        <v>N/A</v>
      </c>
      <c r="E29" s="55" t="str">
        <f>+'Work Report Consultant'!AE63</f>
        <v>NA</v>
      </c>
    </row>
    <row r="30" spans="2:5" ht="18.75" customHeight="1">
      <c r="B30" s="106">
        <f t="shared" si="0"/>
        <v>332</v>
      </c>
      <c r="C30" s="56">
        <f>+'Work Report Consultant'!S64</f>
        <v>24</v>
      </c>
      <c r="D30" s="54" t="str">
        <f>+'Work Report Consultant'!T64</f>
        <v>N/A</v>
      </c>
      <c r="E30" s="55" t="str">
        <f>+'Work Report Consultant'!AE64</f>
        <v>NA</v>
      </c>
    </row>
    <row r="31" spans="2:5" ht="18.75" customHeight="1">
      <c r="B31" s="106">
        <f t="shared" si="0"/>
        <v>333</v>
      </c>
      <c r="C31" s="56">
        <f>+'Work Report Consultant'!S65</f>
        <v>25</v>
      </c>
      <c r="D31" s="54" t="str">
        <f>+'Work Report Consultant'!T65</f>
        <v>N/A</v>
      </c>
      <c r="E31" s="55" t="str">
        <f>+'Work Report Consultant'!AE65</f>
        <v>NA</v>
      </c>
    </row>
    <row r="32" spans="2:5" ht="18.75" customHeight="1">
      <c r="B32" s="106">
        <f t="shared" si="0"/>
        <v>334</v>
      </c>
      <c r="C32" s="56">
        <f>+'Work Report Consultant'!S66</f>
        <v>26</v>
      </c>
      <c r="D32" s="54" t="str">
        <f>+'Work Report Consultant'!T66</f>
        <v>N/A</v>
      </c>
      <c r="E32" s="55" t="str">
        <f>+'Work Report Consultant'!AE66</f>
        <v>NA</v>
      </c>
    </row>
    <row r="33" spans="2:7" ht="18.75" customHeight="1">
      <c r="B33" s="106">
        <f t="shared" si="0"/>
        <v>335</v>
      </c>
      <c r="C33" s="56">
        <f>+'Work Report Consultant'!S67</f>
        <v>27</v>
      </c>
      <c r="D33" s="54" t="str">
        <f>+'Work Report Consultant'!T67</f>
        <v>N/A</v>
      </c>
      <c r="E33" s="55" t="str">
        <f>+'Work Report Consultant'!AE67</f>
        <v>NA</v>
      </c>
    </row>
    <row r="34" spans="2:7" ht="18.75" customHeight="1">
      <c r="B34" s="106">
        <f t="shared" si="0"/>
        <v>336</v>
      </c>
      <c r="C34" s="56">
        <f>+'Work Report Consultant'!S68</f>
        <v>28</v>
      </c>
      <c r="D34" s="54" t="str">
        <f>+'Work Report Consultant'!T68</f>
        <v>N/A</v>
      </c>
      <c r="E34" s="55" t="str">
        <f>+'Work Report Consultant'!AE68</f>
        <v>NA</v>
      </c>
    </row>
    <row r="35" spans="2:7" ht="18.75" customHeight="1">
      <c r="B35" s="106">
        <f t="shared" si="0"/>
        <v>337</v>
      </c>
      <c r="C35" s="56">
        <f>+'Work Report Consultant'!S69</f>
        <v>29</v>
      </c>
      <c r="D35" s="54" t="str">
        <f>+'Work Report Consultant'!T69</f>
        <v>N/A</v>
      </c>
      <c r="E35" s="55" t="str">
        <f>+'Work Report Consultant'!AE69</f>
        <v>NA</v>
      </c>
    </row>
    <row r="36" spans="2:7" ht="18.75" customHeight="1">
      <c r="B36" s="106">
        <f t="shared" si="0"/>
        <v>338</v>
      </c>
      <c r="C36" s="56">
        <f>+'Work Report Consultant'!S70</f>
        <v>30</v>
      </c>
      <c r="D36" s="54" t="str">
        <f>+'Work Report Consultant'!T70</f>
        <v>N/A</v>
      </c>
      <c r="E36" s="55" t="str">
        <f>+'Work Report Consultant'!AE70</f>
        <v>NA</v>
      </c>
    </row>
    <row r="37" spans="2:7" ht="18.75" customHeight="1"/>
    <row r="38" spans="2:7" ht="18.75" customHeight="1" thickBot="1"/>
    <row r="39" spans="2:7" ht="23.25" customHeight="1" thickBot="1">
      <c r="B39" s="71" t="s">
        <v>46</v>
      </c>
      <c r="C39" s="58"/>
      <c r="D39" s="57"/>
      <c r="E39" s="59">
        <f>SUM(E7:E37)</f>
        <v>0</v>
      </c>
      <c r="F39" s="73" t="s">
        <v>49</v>
      </c>
      <c r="G39" s="72"/>
    </row>
    <row r="42" spans="2:7">
      <c r="B42" s="110" t="s">
        <v>69</v>
      </c>
      <c r="C42" s="111"/>
      <c r="D42" s="112"/>
      <c r="E42" s="113"/>
      <c r="F42" s="112"/>
      <c r="G42" s="114"/>
    </row>
    <row r="43" spans="2:7">
      <c r="B43" s="123"/>
      <c r="G43" s="116"/>
    </row>
    <row r="44" spans="2:7">
      <c r="B44" s="117" t="s">
        <v>59</v>
      </c>
      <c r="D44" s="133" t="s">
        <v>64</v>
      </c>
      <c r="E44" s="107" t="s">
        <v>62</v>
      </c>
      <c r="F44" s="135" t="s">
        <v>83</v>
      </c>
      <c r="G44" s="137" t="s">
        <v>85</v>
      </c>
    </row>
    <row r="45" spans="2:7">
      <c r="B45" s="115" t="s">
        <v>60</v>
      </c>
      <c r="D45" s="134" t="s">
        <v>61</v>
      </c>
      <c r="E45" s="56" t="s">
        <v>63</v>
      </c>
      <c r="F45" s="136" t="s">
        <v>63</v>
      </c>
      <c r="G45" s="116"/>
    </row>
    <row r="46" spans="2:7">
      <c r="B46" s="115" t="s">
        <v>60</v>
      </c>
      <c r="D46" s="134" t="s">
        <v>61</v>
      </c>
      <c r="E46" s="56" t="s">
        <v>63</v>
      </c>
      <c r="F46" s="136" t="s">
        <v>63</v>
      </c>
      <c r="G46" s="116"/>
    </row>
    <row r="47" spans="2:7">
      <c r="B47" s="115" t="s">
        <v>60</v>
      </c>
      <c r="D47" s="134" t="s">
        <v>61</v>
      </c>
      <c r="E47" s="56" t="s">
        <v>63</v>
      </c>
      <c r="F47" s="136" t="s">
        <v>63</v>
      </c>
      <c r="G47" s="116"/>
    </row>
    <row r="48" spans="2:7">
      <c r="B48" s="115" t="s">
        <v>60</v>
      </c>
      <c r="D48" s="134" t="s">
        <v>61</v>
      </c>
      <c r="E48" s="56" t="s">
        <v>63</v>
      </c>
      <c r="F48" s="136" t="s">
        <v>63</v>
      </c>
      <c r="G48" s="116"/>
    </row>
    <row r="49" spans="2:7">
      <c r="B49" s="115" t="s">
        <v>60</v>
      </c>
      <c r="D49" s="134" t="s">
        <v>61</v>
      </c>
      <c r="E49" s="56" t="s">
        <v>63</v>
      </c>
      <c r="F49" s="136" t="s">
        <v>63</v>
      </c>
      <c r="G49" s="116"/>
    </row>
    <row r="50" spans="2:7">
      <c r="B50" s="115" t="s">
        <v>60</v>
      </c>
      <c r="D50" s="134" t="s">
        <v>61</v>
      </c>
      <c r="E50" s="56" t="s">
        <v>63</v>
      </c>
      <c r="F50" s="136" t="s">
        <v>63</v>
      </c>
      <c r="G50" s="116"/>
    </row>
    <row r="51" spans="2:7">
      <c r="B51" s="115" t="s">
        <v>60</v>
      </c>
      <c r="D51" s="134" t="s">
        <v>61</v>
      </c>
      <c r="E51" s="56" t="s">
        <v>63</v>
      </c>
      <c r="F51" s="136" t="s">
        <v>63</v>
      </c>
      <c r="G51" s="116"/>
    </row>
    <row r="52" spans="2:7">
      <c r="B52" s="115"/>
      <c r="G52" s="116"/>
    </row>
    <row r="53" spans="2:7">
      <c r="B53" s="122" t="s">
        <v>68</v>
      </c>
      <c r="G53" s="116"/>
    </row>
    <row r="54" spans="2:7">
      <c r="B54" s="121" t="s">
        <v>65</v>
      </c>
      <c r="G54" s="116"/>
    </row>
    <row r="55" spans="2:7">
      <c r="B55" s="121" t="s">
        <v>66</v>
      </c>
      <c r="G55" s="116"/>
    </row>
    <row r="56" spans="2:7">
      <c r="B56" s="120"/>
      <c r="C56" s="109"/>
      <c r="D56" s="62"/>
      <c r="E56" s="118"/>
      <c r="F56" s="62"/>
      <c r="G56" s="119"/>
    </row>
    <row r="57" spans="2:7" ht="37.5" customHeight="1">
      <c r="B57" s="63" t="s">
        <v>47</v>
      </c>
      <c r="E57" s="56"/>
      <c r="F57" s="62"/>
      <c r="G57" s="62"/>
    </row>
    <row r="58" spans="2:7">
      <c r="E58" s="56"/>
    </row>
    <row r="59" spans="2:7" ht="30.75" customHeight="1">
      <c r="B59" s="54" t="s">
        <v>56</v>
      </c>
      <c r="E59" s="56"/>
      <c r="F59" s="54" t="s">
        <v>57</v>
      </c>
    </row>
    <row r="60" spans="2:7" ht="36" customHeight="1">
      <c r="B60" s="64" t="s">
        <v>58</v>
      </c>
      <c r="E60" s="56"/>
      <c r="F60" s="62"/>
      <c r="G60" s="62"/>
    </row>
  </sheetData>
  <pageMargins left="0.70866141732283472" right="0.31496062992125984" top="0.74803149606299213" bottom="0.35433070866141736" header="0.31496062992125984" footer="0.31496062992125984"/>
  <pageSetup paperSize="9" scale="7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  <pageSetUpPr fitToPage="1"/>
  </sheetPr>
  <dimension ref="B2:G60"/>
  <sheetViews>
    <sheetView showGridLines="0" showRowColHeaders="0" zoomScale="50" zoomScaleNormal="50" workbookViewId="0">
      <selection activeCell="E9" sqref="E9"/>
    </sheetView>
  </sheetViews>
  <sheetFormatPr defaultColWidth="8.88671875" defaultRowHeight="15"/>
  <cols>
    <col min="1" max="1" width="8.88671875" style="54"/>
    <col min="2" max="2" width="11.5546875" style="54" customWidth="1"/>
    <col min="3" max="3" width="6.21875" style="56" customWidth="1"/>
    <col min="4" max="4" width="16.6640625" style="54" bestFit="1" customWidth="1"/>
    <col min="5" max="5" width="14.77734375" style="55" customWidth="1"/>
    <col min="6" max="6" width="10.77734375" style="54" customWidth="1"/>
    <col min="7" max="7" width="36.77734375" style="54" customWidth="1"/>
    <col min="8" max="16384" width="8.88671875" style="54"/>
  </cols>
  <sheetData>
    <row r="2" spans="2:7" ht="26.25" customHeight="1">
      <c r="B2" s="65" t="str">
        <f>+'Work Report Consultant'!B2</f>
        <v>Consultant work report 2026</v>
      </c>
      <c r="C2" s="66"/>
      <c r="D2" s="67"/>
      <c r="E2" s="68"/>
      <c r="G2" s="132" t="s">
        <v>91</v>
      </c>
    </row>
    <row r="3" spans="2:7" ht="27.75" customHeight="1">
      <c r="B3" s="69" t="str">
        <f>+'Work Report Consultant'!B3</f>
        <v>Name:</v>
      </c>
      <c r="C3" s="70" t="str">
        <f>+'Work Report Consultant'!E3</f>
        <v>Jorge Benito Sanabrias</v>
      </c>
      <c r="D3" s="67"/>
      <c r="E3" s="68"/>
      <c r="F3" s="67"/>
    </row>
    <row r="4" spans="2:7" ht="24.75" customHeight="1">
      <c r="B4" s="69">
        <f>+'Work Report Consultant'!P3</f>
        <v>0</v>
      </c>
      <c r="C4" s="70" t="str">
        <f>+'Work Report Consultant'!R3</f>
        <v>Anzen Engineering Switzerland</v>
      </c>
      <c r="D4" s="67"/>
      <c r="E4" s="68"/>
      <c r="F4" s="67"/>
    </row>
    <row r="5" spans="2:7" ht="15.75" thickBot="1"/>
    <row r="6" spans="2:7" ht="21.75" customHeight="1" thickBot="1">
      <c r="B6" s="76" t="str">
        <f>+'Work Report Consultant'!V40</f>
        <v>DECEMBER</v>
      </c>
      <c r="C6" s="59">
        <f>+'Work Report Consultant'!AV3</f>
        <v>2026</v>
      </c>
      <c r="D6" s="73"/>
      <c r="E6" s="59"/>
      <c r="F6" s="59" t="s">
        <v>48</v>
      </c>
      <c r="G6" s="74"/>
    </row>
    <row r="7" spans="2:7" ht="18.75" customHeight="1">
      <c r="B7" s="106">
        <f>+'Print Nov Summary '!B36+1</f>
        <v>339</v>
      </c>
      <c r="C7" s="56">
        <f>+'Work Report Consultant'!W41</f>
        <v>1</v>
      </c>
      <c r="D7" s="54" t="str">
        <f>+'Work Report Consultant'!X41</f>
        <v>Day</v>
      </c>
      <c r="E7" s="55">
        <f>+'Work Report Consultant'!AF41</f>
        <v>1</v>
      </c>
    </row>
    <row r="8" spans="2:7" ht="18.75" customHeight="1">
      <c r="B8" s="106">
        <f>+B7+1</f>
        <v>340</v>
      </c>
      <c r="C8" s="56">
        <f>+'Work Report Consultant'!W42</f>
        <v>2</v>
      </c>
      <c r="D8" s="54" t="str">
        <f>+'Work Report Consultant'!X42</f>
        <v>Day</v>
      </c>
      <c r="E8" s="55">
        <f>+'Work Report Consultant'!AF42</f>
        <v>1</v>
      </c>
    </row>
    <row r="9" spans="2:7" ht="18.75" customHeight="1">
      <c r="B9" s="106">
        <f t="shared" ref="B9:B37" si="0">+B8+1</f>
        <v>341</v>
      </c>
      <c r="C9" s="56">
        <f>+'Work Report Consultant'!W43</f>
        <v>3</v>
      </c>
      <c r="D9" s="54" t="str">
        <f>+'Work Report Consultant'!X43</f>
        <v>N/A</v>
      </c>
      <c r="E9" s="55" t="str">
        <f>+'Work Report Consultant'!AF43</f>
        <v>NA</v>
      </c>
    </row>
    <row r="10" spans="2:7" ht="18.75" customHeight="1">
      <c r="B10" s="106">
        <f t="shared" si="0"/>
        <v>342</v>
      </c>
      <c r="C10" s="56">
        <f>+'Work Report Consultant'!W44</f>
        <v>4</v>
      </c>
      <c r="D10" s="54" t="str">
        <f>+'Work Report Consultant'!X44</f>
        <v>N/A</v>
      </c>
      <c r="E10" s="55" t="str">
        <f>+'Work Report Consultant'!AF44</f>
        <v>NA</v>
      </c>
    </row>
    <row r="11" spans="2:7" ht="18.75" customHeight="1">
      <c r="B11" s="106">
        <f t="shared" si="0"/>
        <v>343</v>
      </c>
      <c r="C11" s="56">
        <f>+'Work Report Consultant'!W45</f>
        <v>5</v>
      </c>
      <c r="D11" s="54" t="str">
        <f>+'Work Report Consultant'!X45</f>
        <v>N/A</v>
      </c>
      <c r="E11" s="55" t="str">
        <f>+'Work Report Consultant'!AF45</f>
        <v>NA</v>
      </c>
    </row>
    <row r="12" spans="2:7" ht="18.75" customHeight="1">
      <c r="B12" s="106">
        <f t="shared" si="0"/>
        <v>344</v>
      </c>
      <c r="C12" s="56">
        <f>+'Work Report Consultant'!W46</f>
        <v>6</v>
      </c>
      <c r="D12" s="54" t="str">
        <f>+'Work Report Consultant'!X46</f>
        <v>N/A</v>
      </c>
      <c r="E12" s="55" t="str">
        <f>+'Work Report Consultant'!AF46</f>
        <v>NA</v>
      </c>
    </row>
    <row r="13" spans="2:7" ht="18.75" customHeight="1">
      <c r="B13" s="106">
        <f t="shared" si="0"/>
        <v>345</v>
      </c>
      <c r="C13" s="56">
        <f>+'Work Report Consultant'!W47</f>
        <v>7</v>
      </c>
      <c r="D13" s="54" t="str">
        <f>+'Work Report Consultant'!X47</f>
        <v>N/A</v>
      </c>
      <c r="E13" s="55" t="str">
        <f>+'Work Report Consultant'!AF47</f>
        <v>NA</v>
      </c>
    </row>
    <row r="14" spans="2:7" ht="18.75" customHeight="1">
      <c r="B14" s="106">
        <f t="shared" si="0"/>
        <v>346</v>
      </c>
      <c r="C14" s="56">
        <f>+'Work Report Consultant'!W48</f>
        <v>8</v>
      </c>
      <c r="D14" s="54" t="str">
        <f>+'Work Report Consultant'!X48</f>
        <v>N/A</v>
      </c>
      <c r="E14" s="55" t="str">
        <f>+'Work Report Consultant'!AF48</f>
        <v>NA</v>
      </c>
    </row>
    <row r="15" spans="2:7" ht="18.75" customHeight="1">
      <c r="B15" s="106">
        <f t="shared" si="0"/>
        <v>347</v>
      </c>
      <c r="C15" s="56">
        <f>+'Work Report Consultant'!W49</f>
        <v>9</v>
      </c>
      <c r="D15" s="54" t="str">
        <f>+'Work Report Consultant'!X49</f>
        <v>N/A</v>
      </c>
      <c r="E15" s="55" t="str">
        <f>+'Work Report Consultant'!AF49</f>
        <v>NA</v>
      </c>
    </row>
    <row r="16" spans="2:7" ht="18.75" customHeight="1">
      <c r="B16" s="106">
        <f t="shared" si="0"/>
        <v>348</v>
      </c>
      <c r="C16" s="56">
        <f>+'Work Report Consultant'!W50</f>
        <v>10</v>
      </c>
      <c r="D16" s="54" t="str">
        <f>+'Work Report Consultant'!X50</f>
        <v>N/A</v>
      </c>
      <c r="E16" s="55" t="str">
        <f>+'Work Report Consultant'!AF50</f>
        <v>NA</v>
      </c>
    </row>
    <row r="17" spans="2:6" ht="18.75" customHeight="1">
      <c r="B17" s="106">
        <f t="shared" si="0"/>
        <v>349</v>
      </c>
      <c r="C17" s="56">
        <f>+'Work Report Consultant'!W51</f>
        <v>11</v>
      </c>
      <c r="D17" s="54" t="str">
        <f>+'Work Report Consultant'!X51</f>
        <v>N/A</v>
      </c>
      <c r="E17" s="55" t="str">
        <f>+'Work Report Consultant'!AF51</f>
        <v>NA</v>
      </c>
    </row>
    <row r="18" spans="2:6" ht="18.75" customHeight="1">
      <c r="B18" s="106">
        <f t="shared" si="0"/>
        <v>350</v>
      </c>
      <c r="C18" s="56">
        <f>+'Work Report Consultant'!W52</f>
        <v>12</v>
      </c>
      <c r="D18" s="54" t="str">
        <f>+'Work Report Consultant'!X52</f>
        <v>N/A</v>
      </c>
      <c r="E18" s="55" t="str">
        <f>+'Work Report Consultant'!AF52</f>
        <v>NA</v>
      </c>
    </row>
    <row r="19" spans="2:6" ht="18.75" customHeight="1">
      <c r="B19" s="106">
        <f t="shared" si="0"/>
        <v>351</v>
      </c>
      <c r="C19" s="56">
        <f>+'Work Report Consultant'!W53</f>
        <v>13</v>
      </c>
      <c r="D19" s="54" t="str">
        <f>+'Work Report Consultant'!X53</f>
        <v>N/A</v>
      </c>
      <c r="E19" s="55" t="str">
        <f>+'Work Report Consultant'!AF53</f>
        <v>NA</v>
      </c>
    </row>
    <row r="20" spans="2:6" ht="18.75" customHeight="1">
      <c r="B20" s="106">
        <f t="shared" si="0"/>
        <v>352</v>
      </c>
      <c r="C20" s="56">
        <f>+'Work Report Consultant'!W54</f>
        <v>14</v>
      </c>
      <c r="D20" s="54" t="str">
        <f>+'Work Report Consultant'!X54</f>
        <v>N/A</v>
      </c>
      <c r="E20" s="55" t="str">
        <f>+'Work Report Consultant'!AF54</f>
        <v>NA</v>
      </c>
    </row>
    <row r="21" spans="2:6" ht="18.75" customHeight="1">
      <c r="B21" s="106">
        <f t="shared" si="0"/>
        <v>353</v>
      </c>
      <c r="C21" s="56">
        <f>+'Work Report Consultant'!W55</f>
        <v>15</v>
      </c>
      <c r="D21" s="54" t="str">
        <f>+'Work Report Consultant'!X55</f>
        <v>N/A</v>
      </c>
      <c r="E21" s="55" t="str">
        <f>+'Work Report Consultant'!AF55</f>
        <v>NA</v>
      </c>
    </row>
    <row r="22" spans="2:6" ht="18.75" customHeight="1">
      <c r="B22" s="106">
        <f t="shared" si="0"/>
        <v>354</v>
      </c>
      <c r="C22" s="56">
        <f>+'Work Report Consultant'!W56</f>
        <v>16</v>
      </c>
      <c r="D22" s="54" t="str">
        <f>+'Work Report Consultant'!X56</f>
        <v>N/A</v>
      </c>
      <c r="E22" s="55" t="str">
        <f>+'Work Report Consultant'!AF56</f>
        <v>NA</v>
      </c>
    </row>
    <row r="23" spans="2:6" ht="18.75" customHeight="1">
      <c r="B23" s="106">
        <f t="shared" si="0"/>
        <v>355</v>
      </c>
      <c r="C23" s="56">
        <f>+'Work Report Consultant'!W57</f>
        <v>17</v>
      </c>
      <c r="D23" s="54" t="str">
        <f>+'Work Report Consultant'!X57</f>
        <v>N/A</v>
      </c>
      <c r="E23" s="55" t="str">
        <f>+'Work Report Consultant'!AF57</f>
        <v>NA</v>
      </c>
    </row>
    <row r="24" spans="2:6" ht="18.75" customHeight="1">
      <c r="B24" s="106">
        <f t="shared" si="0"/>
        <v>356</v>
      </c>
      <c r="C24" s="56">
        <f>+'Work Report Consultant'!W58</f>
        <v>18</v>
      </c>
      <c r="D24" s="54" t="str">
        <f>+'Work Report Consultant'!X58</f>
        <v>N/A</v>
      </c>
      <c r="E24" s="55" t="str">
        <f>+'Work Report Consultant'!AF58</f>
        <v>NA</v>
      </c>
    </row>
    <row r="25" spans="2:6" ht="18.75" customHeight="1">
      <c r="B25" s="106">
        <f t="shared" si="0"/>
        <v>357</v>
      </c>
      <c r="C25" s="56">
        <f>+'Work Report Consultant'!W59</f>
        <v>19</v>
      </c>
      <c r="D25" s="54" t="str">
        <f>+'Work Report Consultant'!X59</f>
        <v>N/A</v>
      </c>
      <c r="E25" s="55" t="str">
        <f>+'Work Report Consultant'!AF59</f>
        <v>NA</v>
      </c>
    </row>
    <row r="26" spans="2:6" ht="18.75" customHeight="1">
      <c r="B26" s="106">
        <f t="shared" si="0"/>
        <v>358</v>
      </c>
      <c r="C26" s="56">
        <f>+'Work Report Consultant'!W60</f>
        <v>20</v>
      </c>
      <c r="D26" s="54" t="str">
        <f>+'Work Report Consultant'!X60</f>
        <v>N/A</v>
      </c>
      <c r="E26" s="55" t="str">
        <f>+'Work Report Consultant'!AF60</f>
        <v>NA</v>
      </c>
    </row>
    <row r="27" spans="2:6" ht="18.75" customHeight="1">
      <c r="B27" s="106">
        <f t="shared" si="0"/>
        <v>359</v>
      </c>
      <c r="C27" s="56">
        <f>+'Work Report Consultant'!W61</f>
        <v>21</v>
      </c>
      <c r="D27" s="54" t="str">
        <f>+'Work Report Consultant'!X61</f>
        <v>N/A</v>
      </c>
      <c r="E27" s="55" t="str">
        <f>+'Work Report Consultant'!AF61</f>
        <v>NA</v>
      </c>
    </row>
    <row r="28" spans="2:6" ht="18.75" customHeight="1">
      <c r="B28" s="106">
        <f t="shared" si="0"/>
        <v>360</v>
      </c>
      <c r="C28" s="56">
        <f>+'Work Report Consultant'!W62</f>
        <v>22</v>
      </c>
      <c r="D28" s="54" t="str">
        <f>+'Work Report Consultant'!X62</f>
        <v>N/A</v>
      </c>
      <c r="E28" s="55" t="str">
        <f>+'Work Report Consultant'!AF62</f>
        <v>NA</v>
      </c>
    </row>
    <row r="29" spans="2:6" ht="18.75" customHeight="1">
      <c r="B29" s="106">
        <f t="shared" si="0"/>
        <v>361</v>
      </c>
      <c r="C29" s="56">
        <f>+'Work Report Consultant'!W63</f>
        <v>23</v>
      </c>
      <c r="D29" s="54" t="str">
        <f>+'Work Report Consultant'!X63</f>
        <v>N/A</v>
      </c>
      <c r="E29" s="55" t="str">
        <f>+'Work Report Consultant'!AF63</f>
        <v>NA</v>
      </c>
      <c r="F29" s="54" t="s">
        <v>19</v>
      </c>
    </row>
    <row r="30" spans="2:6" ht="18.75" customHeight="1">
      <c r="B30" s="106">
        <f t="shared" si="0"/>
        <v>362</v>
      </c>
      <c r="C30" s="56">
        <f>+'Work Report Consultant'!W64</f>
        <v>24</v>
      </c>
      <c r="D30" s="54" t="str">
        <f>+'Work Report Consultant'!X64</f>
        <v>N/A</v>
      </c>
      <c r="E30" s="55" t="str">
        <f>+'Work Report Consultant'!AF64</f>
        <v>NA</v>
      </c>
      <c r="F30" s="54" t="s">
        <v>19</v>
      </c>
    </row>
    <row r="31" spans="2:6" ht="18.75" customHeight="1">
      <c r="B31" s="106">
        <f t="shared" si="0"/>
        <v>363</v>
      </c>
      <c r="C31" s="56">
        <f>+'Work Report Consultant'!W65</f>
        <v>25</v>
      </c>
      <c r="D31" s="54" t="str">
        <f>+'Work Report Consultant'!X65</f>
        <v>N/A</v>
      </c>
      <c r="E31" s="55" t="str">
        <f>+'Work Report Consultant'!AF65</f>
        <v>NA</v>
      </c>
    </row>
    <row r="32" spans="2:6" ht="18.75" customHeight="1">
      <c r="B32" s="106">
        <f t="shared" si="0"/>
        <v>364</v>
      </c>
      <c r="C32" s="56">
        <f>+'Work Report Consultant'!W66</f>
        <v>26</v>
      </c>
      <c r="D32" s="54" t="str">
        <f>+'Work Report Consultant'!X66</f>
        <v>N/A</v>
      </c>
      <c r="E32" s="55" t="str">
        <f>+'Work Report Consultant'!AF66</f>
        <v>NA</v>
      </c>
      <c r="F32" s="54" t="s">
        <v>19</v>
      </c>
    </row>
    <row r="33" spans="2:7" ht="18.75" customHeight="1">
      <c r="B33" s="106">
        <f t="shared" si="0"/>
        <v>365</v>
      </c>
      <c r="C33" s="56">
        <f>+'Work Report Consultant'!W67</f>
        <v>27</v>
      </c>
      <c r="D33" s="54" t="str">
        <f>+'Work Report Consultant'!X67</f>
        <v>N/A</v>
      </c>
      <c r="E33" s="55" t="str">
        <f>+'Work Report Consultant'!AF67</f>
        <v>NA</v>
      </c>
      <c r="F33" s="54" t="s">
        <v>19</v>
      </c>
    </row>
    <row r="34" spans="2:7" ht="18.75" customHeight="1">
      <c r="B34" s="106">
        <f t="shared" si="0"/>
        <v>366</v>
      </c>
      <c r="C34" s="56">
        <f>+'Work Report Consultant'!W68</f>
        <v>28</v>
      </c>
      <c r="D34" s="54" t="str">
        <f>+'Work Report Consultant'!X68</f>
        <v>N/A</v>
      </c>
      <c r="E34" s="55" t="str">
        <f>+'Work Report Consultant'!AF68</f>
        <v>NA</v>
      </c>
    </row>
    <row r="35" spans="2:7" ht="18.75" customHeight="1">
      <c r="B35" s="106">
        <f t="shared" si="0"/>
        <v>367</v>
      </c>
      <c r="C35" s="56">
        <f>+'Work Report Consultant'!W69</f>
        <v>29</v>
      </c>
      <c r="D35" s="54" t="str">
        <f>+'Work Report Consultant'!X69</f>
        <v>N/A</v>
      </c>
      <c r="E35" s="55" t="str">
        <f>+'Work Report Consultant'!AF69</f>
        <v>NA</v>
      </c>
    </row>
    <row r="36" spans="2:7" ht="18.75" customHeight="1">
      <c r="B36" s="106">
        <f t="shared" si="0"/>
        <v>368</v>
      </c>
      <c r="C36" s="56">
        <f>+'Work Report Consultant'!W70</f>
        <v>30</v>
      </c>
      <c r="D36" s="54" t="str">
        <f>+'Work Report Consultant'!X70</f>
        <v>N/A</v>
      </c>
      <c r="E36" s="55" t="str">
        <f>+'Work Report Consultant'!AF70</f>
        <v>NA</v>
      </c>
      <c r="F36" s="54" t="s">
        <v>19</v>
      </c>
    </row>
    <row r="37" spans="2:7" ht="18.75" customHeight="1">
      <c r="B37" s="106">
        <f t="shared" si="0"/>
        <v>369</v>
      </c>
      <c r="C37" s="56">
        <f>+'Work Report Consultant'!W71</f>
        <v>31</v>
      </c>
      <c r="D37" s="54" t="str">
        <f>+'Work Report Consultant'!X71</f>
        <v>N/A</v>
      </c>
      <c r="E37" s="55" t="str">
        <f>+'Work Report Consultant'!AF71</f>
        <v>NA</v>
      </c>
      <c r="F37" s="54" t="s">
        <v>19</v>
      </c>
    </row>
    <row r="38" spans="2:7" ht="18.75" customHeight="1" thickBot="1"/>
    <row r="39" spans="2:7" ht="23.25" customHeight="1" thickBot="1">
      <c r="B39" s="71" t="s">
        <v>46</v>
      </c>
      <c r="C39" s="58"/>
      <c r="D39" s="57"/>
      <c r="E39" s="59">
        <f>SUM(E7:E37)</f>
        <v>2</v>
      </c>
      <c r="F39" s="73" t="s">
        <v>49</v>
      </c>
      <c r="G39" s="72"/>
    </row>
    <row r="42" spans="2:7">
      <c r="B42" s="110" t="s">
        <v>69</v>
      </c>
      <c r="C42" s="111"/>
      <c r="D42" s="112"/>
      <c r="E42" s="113"/>
      <c r="F42" s="112"/>
      <c r="G42" s="114"/>
    </row>
    <row r="43" spans="2:7">
      <c r="B43" s="123"/>
      <c r="G43" s="116"/>
    </row>
    <row r="44" spans="2:7">
      <c r="B44" s="117" t="s">
        <v>59</v>
      </c>
      <c r="D44" s="133" t="s">
        <v>64</v>
      </c>
      <c r="E44" s="107" t="s">
        <v>62</v>
      </c>
      <c r="F44" s="135" t="s">
        <v>83</v>
      </c>
      <c r="G44" s="137" t="s">
        <v>85</v>
      </c>
    </row>
    <row r="45" spans="2:7">
      <c r="B45" s="115" t="s">
        <v>60</v>
      </c>
      <c r="D45" s="134" t="s">
        <v>61</v>
      </c>
      <c r="E45" s="56" t="s">
        <v>63</v>
      </c>
      <c r="F45" s="136" t="s">
        <v>63</v>
      </c>
      <c r="G45" s="116"/>
    </row>
    <row r="46" spans="2:7">
      <c r="B46" s="115" t="s">
        <v>60</v>
      </c>
      <c r="D46" s="134" t="s">
        <v>61</v>
      </c>
      <c r="E46" s="56" t="s">
        <v>63</v>
      </c>
      <c r="F46" s="136" t="s">
        <v>63</v>
      </c>
      <c r="G46" s="116"/>
    </row>
    <row r="47" spans="2:7">
      <c r="B47" s="115" t="s">
        <v>60</v>
      </c>
      <c r="D47" s="134" t="s">
        <v>61</v>
      </c>
      <c r="E47" s="56" t="s">
        <v>63</v>
      </c>
      <c r="F47" s="136" t="s">
        <v>63</v>
      </c>
      <c r="G47" s="116"/>
    </row>
    <row r="48" spans="2:7">
      <c r="B48" s="115" t="s">
        <v>60</v>
      </c>
      <c r="D48" s="134" t="s">
        <v>61</v>
      </c>
      <c r="E48" s="56" t="s">
        <v>63</v>
      </c>
      <c r="F48" s="136" t="s">
        <v>63</v>
      </c>
      <c r="G48" s="116"/>
    </row>
    <row r="49" spans="2:7">
      <c r="B49" s="115" t="s">
        <v>60</v>
      </c>
      <c r="D49" s="134" t="s">
        <v>61</v>
      </c>
      <c r="E49" s="56" t="s">
        <v>63</v>
      </c>
      <c r="F49" s="136" t="s">
        <v>63</v>
      </c>
      <c r="G49" s="116"/>
    </row>
    <row r="50" spans="2:7">
      <c r="B50" s="115" t="s">
        <v>60</v>
      </c>
      <c r="D50" s="134" t="s">
        <v>61</v>
      </c>
      <c r="E50" s="56" t="s">
        <v>63</v>
      </c>
      <c r="F50" s="136" t="s">
        <v>63</v>
      </c>
      <c r="G50" s="116"/>
    </row>
    <row r="51" spans="2:7">
      <c r="B51" s="115" t="s">
        <v>60</v>
      </c>
      <c r="D51" s="134" t="s">
        <v>61</v>
      </c>
      <c r="E51" s="56" t="s">
        <v>63</v>
      </c>
      <c r="F51" s="136" t="s">
        <v>63</v>
      </c>
      <c r="G51" s="116"/>
    </row>
    <row r="52" spans="2:7">
      <c r="B52" s="115"/>
      <c r="G52" s="116"/>
    </row>
    <row r="53" spans="2:7">
      <c r="B53" s="122" t="s">
        <v>68</v>
      </c>
      <c r="G53" s="116"/>
    </row>
    <row r="54" spans="2:7">
      <c r="B54" s="121" t="s">
        <v>65</v>
      </c>
      <c r="G54" s="116"/>
    </row>
    <row r="55" spans="2:7">
      <c r="B55" s="121" t="s">
        <v>66</v>
      </c>
      <c r="G55" s="116"/>
    </row>
    <row r="56" spans="2:7">
      <c r="B56" s="120"/>
      <c r="C56" s="109"/>
      <c r="D56" s="62"/>
      <c r="E56" s="118"/>
      <c r="F56" s="62"/>
      <c r="G56" s="119"/>
    </row>
    <row r="57" spans="2:7" ht="37.5" customHeight="1">
      <c r="B57" s="63" t="s">
        <v>47</v>
      </c>
      <c r="E57" s="56"/>
      <c r="F57" s="62"/>
      <c r="G57" s="62"/>
    </row>
    <row r="58" spans="2:7">
      <c r="E58" s="56"/>
    </row>
    <row r="59" spans="2:7" ht="30.75" customHeight="1">
      <c r="B59" s="54" t="s">
        <v>56</v>
      </c>
      <c r="E59" s="56"/>
      <c r="F59" s="54" t="s">
        <v>57</v>
      </c>
    </row>
    <row r="60" spans="2:7" ht="36" customHeight="1">
      <c r="B60" s="64" t="s">
        <v>58</v>
      </c>
      <c r="E60" s="56"/>
      <c r="F60" s="62"/>
      <c r="G60" s="62"/>
    </row>
  </sheetData>
  <pageMargins left="0.70866141732283472" right="0.31496062992125984" top="0.74803149606299213" bottom="0.35433070866141736" header="0.31496062992125984" footer="0.31496062992125984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7d3e64-795b-4c67-ab29-b2c3f90e35f6" xsi:nil="true"/>
    <lcf76f155ced4ddcb4097134ff3c332f xmlns="79b178d0-d725-4fe9-8660-4bf9fee527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6BEC926FF9094CA808FA54727148C2" ma:contentTypeVersion="13" ma:contentTypeDescription="Crear nuevo documento." ma:contentTypeScope="" ma:versionID="ad309f4678cc08c8fd040421113191ef">
  <xsd:schema xmlns:xsd="http://www.w3.org/2001/XMLSchema" xmlns:xs="http://www.w3.org/2001/XMLSchema" xmlns:p="http://schemas.microsoft.com/office/2006/metadata/properties" xmlns:ns2="79b178d0-d725-4fe9-8660-4bf9fee52784" xmlns:ns3="147d3e64-795b-4c67-ab29-b2c3f90e35f6" targetNamespace="http://schemas.microsoft.com/office/2006/metadata/properties" ma:root="true" ma:fieldsID="66f74add4519adae5817cbe8f684fe22" ns2:_="" ns3:_="">
    <xsd:import namespace="79b178d0-d725-4fe9-8660-4bf9fee52784"/>
    <xsd:import namespace="147d3e64-795b-4c67-ab29-b2c3f90e35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178d0-d725-4fe9-8660-4bf9fee52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2d024ca-0460-4691-bbae-20e005e0af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7d3e64-795b-4c67-ab29-b2c3f90e35f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245bdc4-77f4-4bf9-a68d-3fadedeca939}" ma:internalName="TaxCatchAll" ma:showField="CatchAllData" ma:web="147d3e64-795b-4c67-ab29-b2c3f90e35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63906F-1E0A-43B2-965F-9EEB89107884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79b178d0-d725-4fe9-8660-4bf9fee52784"/>
    <ds:schemaRef ds:uri="http://schemas.openxmlformats.org/package/2006/metadata/core-properties"/>
    <ds:schemaRef ds:uri="147d3e64-795b-4c67-ab29-b2c3f90e35f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5CFC363-BC3F-4633-9C97-AC72FB5179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A1D98A-0DAB-4EA9-B9FC-45F07575CD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b178d0-d725-4fe9-8660-4bf9fee52784"/>
    <ds:schemaRef ds:uri="147d3e64-795b-4c67-ab29-b2c3f90e35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23</vt:i4>
      </vt:variant>
    </vt:vector>
  </HeadingPairs>
  <TitlesOfParts>
    <vt:vector size="36" baseType="lpstr">
      <vt:lpstr>Work Report Consultant</vt:lpstr>
      <vt:lpstr>Print January Summary</vt:lpstr>
      <vt:lpstr>Print February Summary </vt:lpstr>
      <vt:lpstr>Print March Summary</vt:lpstr>
      <vt:lpstr>Print April Summary</vt:lpstr>
      <vt:lpstr>Print May Summary</vt:lpstr>
      <vt:lpstr>Print June Summary</vt:lpstr>
      <vt:lpstr>Print July Summary</vt:lpstr>
      <vt:lpstr>Print Aug Summary</vt:lpstr>
      <vt:lpstr>Print Sept Summary</vt:lpstr>
      <vt:lpstr>Print Oct Summary</vt:lpstr>
      <vt:lpstr>Print Nov Summary </vt:lpstr>
      <vt:lpstr>Print Dec Summary</vt:lpstr>
      <vt:lpstr>\s</vt:lpstr>
      <vt:lpstr>\t</vt:lpstr>
      <vt:lpstr>'Work Report Consultant'!Druckbereich_MI</vt:lpstr>
      <vt:lpstr>DRUCKBEREICH_MI</vt:lpstr>
      <vt:lpstr>MAKRO</vt:lpstr>
      <vt:lpstr>'Print April Summary'!Print_Area</vt:lpstr>
      <vt:lpstr>'Print Aug Summary'!Print_Area</vt:lpstr>
      <vt:lpstr>'Print Dec Summary'!Print_Area</vt:lpstr>
      <vt:lpstr>'Print February Summary '!Print_Area</vt:lpstr>
      <vt:lpstr>'Print January Summary'!Print_Area</vt:lpstr>
      <vt:lpstr>'Print July Summary'!Print_Area</vt:lpstr>
      <vt:lpstr>'Print June Summary'!Print_Area</vt:lpstr>
      <vt:lpstr>'Print March Summary'!Print_Area</vt:lpstr>
      <vt:lpstr>'Print May Summary'!Print_Area</vt:lpstr>
      <vt:lpstr>'Print Nov Summary '!Print_Area</vt:lpstr>
      <vt:lpstr>'Print Oct Summary'!Print_Area</vt:lpstr>
      <vt:lpstr>'Print Sept Summary'!Print_Area</vt:lpstr>
      <vt:lpstr>'Work Report Consultant'!Print_Area</vt:lpstr>
      <vt:lpstr>Print_Area</vt:lpstr>
      <vt:lpstr>'Work Report Consultant'!Print_Titles</vt:lpstr>
      <vt:lpstr>SASO</vt:lpstr>
      <vt:lpstr>TEMP</vt:lpstr>
      <vt:lpstr>WOCHE</vt:lpstr>
    </vt:vector>
  </TitlesOfParts>
  <Company>Pilatus Aircraft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 Report Contractors</dc:title>
  <dc:creator>Felder Johanna;CNoletta@pilatus-aircraft.com</dc:creator>
  <cp:lastModifiedBy>Jorge Benito</cp:lastModifiedBy>
  <cp:lastPrinted>2026-04-07T10:09:22Z</cp:lastPrinted>
  <dcterms:created xsi:type="dcterms:W3CDTF">2011-09-13T08:09:41Z</dcterms:created>
  <dcterms:modified xsi:type="dcterms:W3CDTF">2026-05-08T09:15:05Z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596b37-69c0-48fc-97f0-be83464a3cb4_Enabled">
    <vt:lpwstr>true</vt:lpwstr>
  </property>
  <property fmtid="{D5CDD505-2E9C-101B-9397-08002B2CF9AE}" pid="3" name="MSIP_Label_9a596b37-69c0-48fc-97f0-be83464a3cb4_SetDate">
    <vt:lpwstr>2023-03-31T08:20:34Z</vt:lpwstr>
  </property>
  <property fmtid="{D5CDD505-2E9C-101B-9397-08002B2CF9AE}" pid="4" name="MSIP_Label_9a596b37-69c0-48fc-97f0-be83464a3cb4_Method">
    <vt:lpwstr>Standard</vt:lpwstr>
  </property>
  <property fmtid="{D5CDD505-2E9C-101B-9397-08002B2CF9AE}" pid="5" name="MSIP_Label_9a596b37-69c0-48fc-97f0-be83464a3cb4_Name">
    <vt:lpwstr>Internal</vt:lpwstr>
  </property>
  <property fmtid="{D5CDD505-2E9C-101B-9397-08002B2CF9AE}" pid="6" name="MSIP_Label_9a596b37-69c0-48fc-97f0-be83464a3cb4_SiteId">
    <vt:lpwstr>a53e67ec-1582-4c06-aded-251590adc3f9</vt:lpwstr>
  </property>
  <property fmtid="{D5CDD505-2E9C-101B-9397-08002B2CF9AE}" pid="7" name="MSIP_Label_9a596b37-69c0-48fc-97f0-be83464a3cb4_ActionId">
    <vt:lpwstr>cb1a2a0b-bfd7-44a9-8219-cb901dea4578</vt:lpwstr>
  </property>
  <property fmtid="{D5CDD505-2E9C-101B-9397-08002B2CF9AE}" pid="8" name="MSIP_Label_9a596b37-69c0-48fc-97f0-be83464a3cb4_ContentBits">
    <vt:lpwstr>0</vt:lpwstr>
  </property>
  <property fmtid="{D5CDD505-2E9C-101B-9397-08002B2CF9AE}" pid="9" name="Classification">
    <vt:lpwstr>Internal</vt:lpwstr>
  </property>
  <property fmtid="{D5CDD505-2E9C-101B-9397-08002B2CF9AE}" pid="10" name="ContentTypeId">
    <vt:lpwstr>0x010100166BEC926FF9094CA808FA54727148C2</vt:lpwstr>
  </property>
  <property fmtid="{D5CDD505-2E9C-101B-9397-08002B2CF9AE}" pid="11" name="Order">
    <vt:r8>115800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